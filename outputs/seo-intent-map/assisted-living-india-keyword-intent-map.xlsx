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d3a2def146840c7" /></Relationships>
</file>

<file path=xl/workbook.xml><?xml version="1.0" encoding="utf-8"?>
<x:workbook xmlns:x="http://schemas.openxmlformats.org/spreadsheetml/2006/main">
  <x:sheets>
    <x:sheet xmlns:r="http://schemas.openxmlformats.org/officeDocument/2006/relationships" name="Source Data" sheetId="1" r:id="R6d7fd10aac514305"/>
    <x:sheet xmlns:r="http://schemas.openxmlformats.org/officeDocument/2006/relationships" name="Intent Map" sheetId="2" r:id="Refc488be15e948bd"/>
    <x:sheet xmlns:r="http://schemas.openxmlformats.org/officeDocument/2006/relationships" name="Page Priority" sheetId="3" r:id="Re2c7de7a1e234575"/>
    <x:sheet xmlns:r="http://schemas.openxmlformats.org/officeDocument/2006/relationships" name="Dashboard" sheetId="4" r:id="R72eb3788db544aa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0">
    <x:font>
      <x:sz val="11"/>
      <x:name val="Carlito"/>
    </x:font>
    <x:font>
      <x:b/>
      <x:sz val="18"/>
      <x:color rgb="FFFFFFFF"/>
      <x:name val="Carlito"/>
    </x:font>
    <x:font>
      <x:sz val="10"/>
      <x:color rgb="FFD7E1DB"/>
      <x:name val="Carlito"/>
    </x:font>
    <x:font>
      <x:b/>
      <x:sz val="9"/>
      <x:color rgb="FF173F35"/>
      <x:name val="Carlito"/>
    </x:font>
    <x:font>
      <x:sz val="8"/>
      <x:color rgb="FF1C2825"/>
      <x:name val="Carlito"/>
    </x:font>
    <x:font>
      <x:sz val="9"/>
      <x:color rgb="FF1C2825"/>
      <x:name val="Carlito"/>
    </x:font>
    <x:font>
      <x:sz val="10"/>
      <x:color rgb="FF1C2825"/>
      <x:name val="Carlito"/>
    </x:font>
    <x:font>
      <x:b/>
      <x:sz val="16"/>
      <x:color rgb="FF173F35"/>
      <x:name val="Carlito"/>
    </x:font>
    <x:font>
      <x:b/>
      <x:sz val="11"/>
      <x:color rgb="FF173F35"/>
      <x:name val="Carlito"/>
    </x:font>
    <x:font>
      <x:i/>
      <x:sz val="9"/>
      <x:color rgb="FF66716C"/>
      <x:name val="Carlito"/>
    </x:font>
  </x:fonts>
  <x:fills count="6">
    <x:fill>
      <x:patternFill patternType="none"/>
    </x:fill>
    <x:fill>
      <x:patternFill patternType="gray125"/>
    </x:fill>
    <x:fill>
      <x:patternFill patternType="solid">
        <x:fgColor rgb="FF173F35"/>
      </x:patternFill>
    </x:fill>
    <x:fill>
      <x:patternFill patternType="solid">
        <x:fgColor rgb="FFDCE6DD"/>
      </x:patternFill>
    </x:fill>
    <x:fill>
      <x:patternFill patternType="solid">
        <x:fgColor rgb="FFFFFDF8"/>
      </x:patternFill>
    </x:fill>
    <x:fill>
      <x:patternFill patternType="solid">
        <x:fgColor rgb="FFF2ECDF"/>
      </x:patternFill>
    </x:fill>
  </x:fills>
  <x:borders count="22">
    <x:border/>
    <x:border>
      <x:right style="thin">
        <x:color rgb="FFD9DED8"/>
      </x:right>
    </x:border>
    <x:border>
      <x:left style="thin">
        <x:color rgb="FFD9DED8"/>
      </x:left>
      <x:right style="thin">
        <x:color rgb="FFD9DED8"/>
      </x:right>
    </x:border>
    <x:border>
      <x:left style="thin">
        <x:color rgb="FFD9DED8"/>
      </x:left>
    </x:border>
    <x:border>
      <x:bottom style="thin">
        <x:color rgb="FFEDF0EB"/>
      </x:bottom>
    </x:border>
    <x:border>
      <x:top style="thin">
        <x:color rgb="FFEDF0EB"/>
      </x:top>
      <x:bottom style="thin">
        <x:color rgb="FFEDF0EB"/>
      </x:bottom>
    </x:border>
    <x:border>
      <x:top style="thin">
        <x:color rgb="FFEDF0EB"/>
      </x:top>
    </x:border>
    <x:border>
      <x:bottom style="thin">
        <x:color rgb="FFE7EBE6"/>
      </x:bottom>
    </x:border>
    <x:border>
      <x:top style="thin">
        <x:color rgb="FFE7EBE6"/>
      </x:top>
      <x:bottom style="thin">
        <x:color rgb="FFE7EBE6"/>
      </x:bottom>
    </x:border>
    <x:border>
      <x:top style="thin">
        <x:color rgb="FFE7EBE6"/>
      </x:top>
    </x:border>
    <x:border>
      <x:bottom style="thin">
        <x:color rgb="FFD9DED8"/>
      </x:bottom>
    </x:border>
    <x:border>
      <x:top style="thin">
        <x:color rgb="FFD9DED8"/>
      </x:top>
      <x:bottom style="thin">
        <x:color rgb="FFD9DED8"/>
      </x:bottom>
    </x:border>
    <x:border>
      <x:top style="thin">
        <x:color rgb="FFD9DED8"/>
      </x:top>
    </x:border>
    <x:border>
      <x:left style="thin">
        <x:color rgb="FFD9DED8"/>
      </x:left>
      <x:top style="thin">
        <x:color rgb="FFD9DED8"/>
      </x:top>
    </x:border>
    <x:border>
      <x:right style="thin">
        <x:color rgb="FFD9DED8"/>
      </x:right>
      <x:top style="thin">
        <x:color rgb="FFD9DED8"/>
      </x:top>
    </x:border>
    <x:border>
      <x:left style="thin">
        <x:color rgb="FFD9DED8"/>
      </x:left>
      <x:bottom style="thin">
        <x:color rgb="FFD9DED8"/>
      </x:bottom>
    </x:border>
    <x:border>
      <x:right style="thin">
        <x:color rgb="FFD9DED8"/>
      </x:right>
      <x:bottom style="thin">
        <x:color rgb="FFD9DED8"/>
      </x:bottom>
    </x:border>
    <x:border>
      <x:left style="thin">
        <x:color rgb="FFD9DED8"/>
      </x:left>
      <x:right style="thin">
        <x:color rgb="FFD9DED8"/>
      </x:right>
      <x:bottom style="thin">
        <x:color rgb="FFD9DED8"/>
      </x:bottom>
    </x:border>
    <x:border>
      <x:right style="thin">
        <x:color rgb="FFD9DED8"/>
      </x:right>
      <x:top style="thin">
        <x:color rgb="FFD9DED8"/>
      </x:top>
      <x:bottom style="thin">
        <x:color rgb="FFD9DED8"/>
      </x:bottom>
    </x:border>
    <x:border>
      <x:left style="thin">
        <x:color rgb="FFD9DED8"/>
      </x:left>
      <x:right style="thin">
        <x:color rgb="FFD9DED8"/>
      </x:right>
      <x:top style="thin">
        <x:color rgb="FFD9DED8"/>
      </x:top>
      <x:bottom style="thin">
        <x:color rgb="FFD9DED8"/>
      </x:bottom>
    </x:border>
    <x:border>
      <x:left style="thin">
        <x:color rgb="FFD9DED8"/>
      </x:left>
      <x:top style="thin">
        <x:color rgb="FFD9DED8"/>
      </x:top>
      <x:bottom style="thin">
        <x:color rgb="FFD9DED8"/>
      </x:bottom>
    </x:border>
    <x:border>
      <x:left style="thin">
        <x:color rgb="FFD9DED8"/>
      </x:left>
      <x:right style="thin">
        <x:color rgb="FFD9DED8"/>
      </x:right>
      <x:top style="thin">
        <x:color rgb="FFD9DED8"/>
      </x:top>
    </x:border>
  </x:borders>
  <x:cellStyleXfs count="1">
    <x:xf numFmtId="0" fontId="0" fillId="0" borderId="0"/>
  </x:cellStyleXfs>
  <x:cellXfs count="1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1" xfId="0" applyNumberFormat="1" applyFont="1" applyFill="1" applyBorder="1" applyAlignment="1">
      <x:alignment vertical="center" wrapText="1"/>
    </x:xf>
    <x:xf numFmtId="0" fontId="3" fillId="3" borderId="2" xfId="0" applyNumberFormat="1" applyFont="1" applyFill="1" applyBorder="1" applyAlignment="1">
      <x:alignment vertical="center" wrapText="1"/>
    </x:xf>
    <x:xf numFmtId="0" fontId="3" fillId="3"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vertical="top"/>
    </x:xf>
    <x:xf numFmtId="0" fontId="4" fillId="0" borderId="5" xfId="0" applyNumberFormat="1" applyFont="1" applyFill="1" applyBorder="1" applyAlignment="1">
      <x:alignment vertical="top"/>
    </x:xf>
    <x:xf numFmtId="0" fontId="4" fillId="0" borderId="6" xfId="0" applyNumberFormat="1" applyFont="1" applyFill="1" applyBorder="1" applyAlignment="1">
      <x:alignment vertical="top"/>
    </x:xf>
    <x:xf numFmtId="200" fontId="4" fillId="0" borderId="4" xfId="0" applyNumberFormat="1" applyFont="1" applyFill="1" applyBorder="1" applyAlignment="1">
      <x:alignment vertical="top"/>
    </x:xf>
    <x:xf numFmtId="200" fontId="4" fillId="0" borderId="5" xfId="0" applyNumberFormat="1" applyFont="1" applyFill="1" applyBorder="1" applyAlignment="1">
      <x:alignment vertical="top"/>
    </x:xf>
    <x:xf numFmtId="200" fontId="4" fillId="0" borderId="6" xfId="0" applyNumberFormat="1" applyFont="1" applyFill="1" applyBorder="1" applyAlignment="1">
      <x:alignment vertical="top"/>
    </x:xf>
    <x:xf numFmtId="201" fontId="4" fillId="0" borderId="4" xfId="0" applyNumberFormat="1" applyFont="1" applyFill="1" applyBorder="1" applyAlignment="1">
      <x:alignment vertical="top"/>
    </x:xf>
    <x:xf numFmtId="201" fontId="4" fillId="0" borderId="5" xfId="0" applyNumberFormat="1" applyFont="1" applyFill="1" applyBorder="1" applyAlignment="1">
      <x:alignment vertical="top"/>
    </x:xf>
    <x:xf numFmtId="201" fontId="4" fillId="0" borderId="6" xfId="0" applyNumberFormat="1" applyFont="1" applyFill="1" applyBorder="1" applyAlignment="1">
      <x:alignment vertical="top"/>
    </x:xf>
    <x:xf numFmtId="0" fontId="4" fillId="0" borderId="4"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0" fontId="5" fillId="0" borderId="0"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201" fontId="5" fillId="0" borderId="7" xfId="0" applyNumberFormat="1" applyFont="1" applyFill="1" applyBorder="1" applyAlignment="1">
      <x:alignment vertical="top" wrapText="1"/>
    </x:xf>
    <x:xf numFmtId="201" fontId="5" fillId="0" borderId="8" xfId="0" applyNumberFormat="1" applyFont="1" applyFill="1" applyBorder="1" applyAlignment="1">
      <x:alignment vertical="top" wrapText="1"/>
    </x:xf>
    <x:xf numFmtId="201" fontId="5" fillId="0" borderId="9"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6" fillId="4" borderId="10" xfId="0" applyNumberFormat="1" applyFont="1" applyFill="1" applyBorder="1"/>
    <x:xf numFmtId="0" fontId="6" fillId="4" borderId="11" xfId="0" applyNumberFormat="1" applyFont="1" applyFill="1" applyBorder="1"/>
    <x:xf numFmtId="0" fontId="6" fillId="4" borderId="12"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0" xfId="0" applyNumberFormat="1" applyFont="1" applyFill="1" applyBorder="1" applyAlignment="1">
      <x:alignment horizontal="right"/>
    </x:xf>
    <x:xf numFmtId="0" fontId="7" fillId="5" borderId="11" xfId="0" applyNumberFormat="1" applyFont="1" applyFill="1" applyBorder="1" applyAlignment="1">
      <x:alignment horizontal="right"/>
    </x:xf>
    <x:xf numFmtId="0" fontId="7" fillId="5" borderId="12" xfId="0" applyNumberFormat="1" applyFont="1" applyFill="1" applyBorder="1" applyAlignment="1">
      <x:alignment horizontal="right"/>
    </x:xf>
    <x:xf numFmtId="0" fontId="5" fillId="4" borderId="0"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2" xfId="0" applyNumberFormat="1" applyFont="1" applyFill="1" applyBorder="1"/>
    <x:xf numFmtId="201" fontId="5" fillId="4" borderId="10" xfId="0" applyNumberFormat="1" applyFont="1" applyFill="1" applyBorder="1"/>
    <x:xf numFmtId="201" fontId="5" fillId="4" borderId="11" xfId="0" applyNumberFormat="1" applyFont="1" applyFill="1" applyBorder="1"/>
    <x:xf numFmtId="201" fontId="5" fillId="4" borderId="12"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vertical="center"/>
    </x:xf>
    <x:xf numFmtId="0" fontId="6" fillId="4" borderId="13" xfId="0" applyNumberFormat="1" applyFont="1" applyFill="1" applyBorder="1"/>
    <x:xf numFmtId="0" fontId="6" fillId="4" borderId="14" xfId="0" applyNumberFormat="1" applyFont="1" applyFill="1" applyBorder="1"/>
    <x:xf numFmtId="0" fontId="6" fillId="4" borderId="3" xfId="0" applyNumberFormat="1" applyFont="1" applyFill="1" applyBorder="1"/>
    <x:xf numFmtId="0" fontId="6" fillId="4" borderId="1" xfId="0" applyNumberFormat="1" applyFont="1" applyFill="1" applyBorder="1"/>
    <x:xf numFmtId="0" fontId="6" fillId="4" borderId="15" xfId="0" applyNumberFormat="1" applyFont="1" applyFill="1" applyBorder="1"/>
    <x:xf numFmtId="0" fontId="6" fillId="4" borderId="16" xfId="0" applyNumberFormat="1" applyFont="1" applyFill="1" applyBorder="1"/>
    <x:xf numFmtId="0" fontId="6" fillId="4" borderId="13" xfId="0" applyNumberFormat="1" applyFont="1" applyFill="1" applyBorder="1" applyAlignment="1">
      <x:alignment wrapText="1"/>
    </x:xf>
    <x:xf numFmtId="0" fontId="6" fillId="4" borderId="12" xfId="0" applyNumberFormat="1" applyFont="1" applyFill="1" applyBorder="1" applyAlignment="1">
      <x:alignment wrapText="1"/>
    </x:xf>
    <x:xf numFmtId="0" fontId="6" fillId="4" borderId="14"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1" xfId="0" applyNumberFormat="1" applyFont="1" applyFill="1" applyBorder="1" applyAlignment="1">
      <x:alignment wrapText="1"/>
    </x:xf>
    <x:xf numFmtId="0" fontId="6" fillId="4" borderId="15" xfId="0" applyNumberFormat="1" applyFont="1" applyFill="1" applyBorder="1" applyAlignment="1">
      <x:alignment wrapText="1"/>
    </x:xf>
    <x:xf numFmtId="0" fontId="6" fillId="4" borderId="10" xfId="0" applyNumberFormat="1" applyFont="1" applyFill="1" applyBorder="1" applyAlignment="1">
      <x:alignment wrapText="1"/>
    </x:xf>
    <x:xf numFmtId="0" fontId="6" fillId="4" borderId="16" xfId="0" applyNumberFormat="1" applyFont="1" applyFill="1" applyBorder="1" applyAlignment="1">
      <x:alignment wrapText="1"/>
    </x:xf>
    <x:xf numFmtId="0" fontId="6" fillId="4" borderId="13" xfId="0" applyNumberFormat="1" applyFont="1" applyFill="1" applyBorder="1" applyAlignment="1">
      <x:alignment vertical="top" wrapText="1"/>
    </x:xf>
    <x:xf numFmtId="0" fontId="6" fillId="4" borderId="12"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6" fillId="4" borderId="10" xfId="0" applyNumberFormat="1" applyFont="1" applyFill="1" applyBorder="1" applyAlignment="1">
      <x:alignment vertical="top" wrapText="1"/>
    </x:xf>
    <x:xf numFmtId="0" fontId="6" fillId="4" borderId="16" xfId="0" applyNumberFormat="1" applyFont="1" applyFill="1" applyBorder="1" applyAlignment="1">
      <x:alignment vertical="top" wrapText="1"/>
    </x:xf>
    <x:xf numFmtId="0" fontId="5" fillId="4" borderId="16" xfId="0" applyNumberFormat="1" applyFont="1" applyFill="1" applyBorder="1"/>
    <x:xf numFmtId="0" fontId="5" fillId="4" borderId="17" xfId="0" applyNumberFormat="1" applyFont="1" applyFill="1" applyBorder="1"/>
    <x:xf numFmtId="0" fontId="5" fillId="4" borderId="15" xfId="0" applyNumberFormat="1" applyFont="1" applyFill="1" applyBorder="1"/>
    <x:xf numFmtId="0" fontId="5" fillId="4" borderId="18" xfId="0" applyNumberFormat="1" applyFont="1" applyFill="1" applyBorder="1"/>
    <x:xf numFmtId="0" fontId="5" fillId="4" borderId="19" xfId="0" applyNumberFormat="1" applyFont="1" applyFill="1" applyBorder="1"/>
    <x:xf numFmtId="0" fontId="5" fillId="4" borderId="20" xfId="0" applyNumberFormat="1" applyFont="1" applyFill="1" applyBorder="1"/>
    <x:xf numFmtId="0" fontId="5" fillId="4" borderId="14" xfId="0" applyNumberFormat="1" applyFont="1" applyFill="1" applyBorder="1"/>
    <x:xf numFmtId="0" fontId="5" fillId="4" borderId="21" xfId="0" applyNumberFormat="1" applyFont="1" applyFill="1" applyBorder="1"/>
    <x:xf numFmtId="0" fontId="5" fillId="4" borderId="13" xfId="0" applyNumberFormat="1" applyFont="1" applyFill="1" applyBorder="1"/>
    <x:xf numFmtId="0" fontId="5" fillId="4" borderId="16" xfId="0" applyNumberFormat="1" applyFont="1" applyFill="1" applyBorder="1" applyAlignment="1">
      <x:alignment wrapText="1"/>
    </x:xf>
    <x:xf numFmtId="0" fontId="5" fillId="4" borderId="17" xfId="0" applyNumberFormat="1" applyFont="1" applyFill="1" applyBorder="1" applyAlignment="1">
      <x:alignment wrapText="1"/>
    </x:xf>
    <x:xf numFmtId="0" fontId="5" fillId="4" borderId="15" xfId="0" applyNumberFormat="1" applyFont="1" applyFill="1" applyBorder="1" applyAlignment="1">
      <x:alignment wrapText="1"/>
    </x:xf>
    <x:xf numFmtId="0" fontId="5" fillId="4" borderId="18" xfId="0" applyNumberFormat="1" applyFont="1" applyFill="1" applyBorder="1" applyAlignment="1">
      <x:alignment wrapText="1"/>
    </x:xf>
    <x:xf numFmtId="0" fontId="5" fillId="4" borderId="19" xfId="0" applyNumberFormat="1" applyFont="1" applyFill="1" applyBorder="1" applyAlignment="1">
      <x:alignment wrapText="1"/>
    </x:xf>
    <x:xf numFmtId="0" fontId="5" fillId="4" borderId="20" xfId="0" applyNumberFormat="1" applyFont="1" applyFill="1" applyBorder="1" applyAlignment="1">
      <x:alignment wrapText="1"/>
    </x:xf>
    <x:xf numFmtId="0" fontId="5" fillId="4" borderId="14" xfId="0" applyNumberFormat="1" applyFont="1" applyFill="1" applyBorder="1" applyAlignment="1">
      <x:alignment wrapText="1"/>
    </x:xf>
    <x:xf numFmtId="0" fontId="5" fillId="4" borderId="21" xfId="0" applyNumberFormat="1" applyFont="1" applyFill="1" applyBorder="1" applyAlignment="1">
      <x:alignment wrapText="1"/>
    </x:xf>
    <x:xf numFmtId="0" fontId="5" fillId="4" borderId="13" xfId="0" applyNumberFormat="1" applyFont="1" applyFill="1" applyBorder="1" applyAlignment="1">
      <x:alignment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center" wrapText="1"/>
    </x:xf>
  </x:cellXfs>
  <x:cellStyles count="1">
    <x:cellStyle name="Normal" xfId="0"/>
  </x:cellStyles>
  <x:dxfs count="5">
    <x:dxf>
      <x:font>
        <x:b/>
        <x:color rgb="FF704818"/>
      </x:font>
      <x:fill>
        <x:patternFill patternType="solid">
          <x:bgColor rgb="FFF3D7A6"/>
        </x:patternFill>
      </x:fill>
    </x:dxf>
    <x:dxf>
      <x:font>
        <x:b/>
        <x:color rgb="FF173F35"/>
      </x:font>
      <x:fill>
        <x:patternFill patternType="solid">
          <x:bgColor rgb="FFDCE6DD"/>
        </x:patternFill>
      </x:fill>
    </x:dxf>
    <x:dxf>
      <x:font>
        <x:color rgb="FFA3553F"/>
      </x:font>
      <x:fill>
        <x:patternFill patternType="solid">
          <x:bgColor rgb="FFF3DEDA"/>
        </x:patternFill>
      </x:fill>
    </x:dxf>
    <x:dxf>
      <x:font>
        <x:b/>
        <x:color rgb="FF704818"/>
      </x:font>
      <x:fill>
        <x:patternFill patternType="solid">
          <x:bgColor rgb="FFF3D7A6"/>
        </x:patternFill>
      </x:fill>
    </x:dxf>
    <x:dxf>
      <x:font>
        <x:b/>
        <x:color rgb="FF173F35"/>
      </x:font>
      <x:fill>
        <x:patternFill patternType="solid">
          <x:bgColor rgb="FFDCE6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b89ca07d5b4986" /><Relationship Type="http://schemas.openxmlformats.org/officeDocument/2006/relationships/theme" Target="/xl/theme/theme1.xml" Id="R1f5c2f042ad845b3" /><Relationship Type="http://schemas.openxmlformats.org/officeDocument/2006/relationships/sharedStrings" Target="/xl/sharedStrings.xml" Id="R50ae2abda69c4e25" /><Relationship Type="http://schemas.openxmlformats.org/officeDocument/2006/relationships/worksheet" Target="/xl/worksheets/sheet1.xml" Id="R6d7fd10aac514305" /><Relationship Type="http://schemas.openxmlformats.org/officeDocument/2006/relationships/worksheet" Target="/xl/worksheets/sheet2.xml" Id="Refc488be15e948bd" /><Relationship Type="http://schemas.openxmlformats.org/officeDocument/2006/relationships/worksheet" Target="/xl/worksheets/sheet3.xml" Id="Re2c7de7a1e234575" /><Relationship Type="http://schemas.openxmlformats.org/officeDocument/2006/relationships/worksheet" Target="/xl/worksheets/sheet4.xml" Id="R72eb3788db544a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4f566c4f2548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Cluster opportunity by intent</a:t>
            </a:r>
          </a:p>
        </c:rich>
      </c:tx>
      <c:overlay val="0"/>
    </c:title>
    <c:plotArea>
      <c:barChart>
        <c:barDir val="col"/>
        <c:varyColors val="0"/>
        <c:ser>
          <c:idx val="0"/>
          <c:order val="0"/>
          <c:tx>
            <c:v>Cluster volume</c:v>
          </c:tx>
          <c:spPr>
            <a:solidFill xmlns:a="http://schemas.openxmlformats.org/drawingml/2006/main">
              <a:srgbClr val="245D4E"/>
            </a:solidFill>
          </c:spPr>
          <c:cat>
            <c:strRef>
              <c:f>'Dashboard'!$A$12:$A$16</c:f>
              <c:strCache>
                <c:ptCount val="0"/>
              </c:strCache>
            </c:strRef>
          </c:cat>
          <c:val>
            <c:numRef>
              <c:f>'Dashboard'!$C$12:$C$16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22</xdr:row>
      <xdr:rowOff>0</xdr:rowOff>
    </xdr:from>
    <xdr:to>
      <xdr:col>10</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4f566c4f2548a7"/>
        </a:graphicData>
      </a:graphic>
    </xdr:graphicFrame>
    <xdr:clientData/>
  </xdr:twoCellAnchor>
</xdr:wsDr>
</file>

<file path=xl/tables/table1.xml><?xml version="1.0" encoding="utf-8"?>
<x:table xmlns:x="http://schemas.openxmlformats.org/spreadsheetml/2006/main" id="1" name="RawKeywordExport" displayName="RawKeywordExport" ref="A4:R43" headerRowCount="1" totalsRowCount="0" totalsRowShown="0">
  <x:tableColumns count="18">
    <x:tableColumn id="1" name="#"/>
    <x:tableColumn id="2" name="Parent Topic"/>
    <x:tableColumn id="3" name="Cluster Volume"/>
    <x:tableColumn id="4" name="Cluster Global Volume"/>
    <x:tableColumn id="5" name="Cluster Total Global Traffic potential"/>
    <x:tableColumn id="6" name="Cluster keywords"/>
    <x:tableColumn id="7" name="Difficulty"/>
    <x:tableColumn id="8" name="Volume"/>
    <x:tableColumn id="9" name="CPC"/>
    <x:tableColumn id="10" name="CPS"/>
    <x:tableColumn id="11" name="Last Update"/>
    <x:tableColumn id="12" name="SERP Features"/>
    <x:tableColumn id="13" name="Global volume"/>
    <x:tableColumn id="14" name="Traffic potential"/>
    <x:tableColumn id="15" name="Global traffic potential"/>
    <x:tableColumn id="16" name="First seen"/>
    <x:tableColumn id="17" name="SV trend (08-2024 - 07-2026)"/>
    <x:tableColumn id="18" name="SV Forecasting trend (08-2026 - 08-2027)"/>
  </x:tableColumns>
  <x:tableStyleInfo name="TableStyleMedium2" showFirstColumn="0" showLastColumn="0" showRowStripes="1" showColumnStripes="0"/>
</x:table>
</file>

<file path=xl/tables/table2.xml><?xml version="1.0" encoding="utf-8"?>
<x:table xmlns:x="http://schemas.openxmlformats.org/spreadsheetml/2006/main" id="2" name="KeywordIntentMap" displayName="KeywordIntentMap" ref="A4:M43" headerRowCount="1" totalsRowCount="0" totalsRowShown="0">
  <x:tableColumns count="13">
    <x:tableColumn id="1" name="Rank"/>
    <x:tableColumn id="2" name="Keyword"/>
    <x:tableColumn id="3" name="Intent"/>
    <x:tableColumn id="4" name="Journey"/>
    <x:tableColumn id="5" name="Cluster volume"/>
    <x:tableColumn id="6" name="Keyword volume"/>
    <x:tableColumn id="7" name="Difficulty"/>
    <x:tableColumn id="8" name="Priority"/>
    <x:tableColumn id="9" name="Recommended action"/>
    <x:tableColumn id="10" name="Target route"/>
    <x:tableColumn id="11" name="Keyword role"/>
    <x:tableColumn id="12" name="Status"/>
    <x:tableColumn id="13" name="Rationale"/>
  </x:tableColumns>
  <x:tableStyleInfo name="TableStyleMedium2" showFirstColumn="0" showLastColumn="0" showRowStripes="1" showColumnStripes="0"/>
</x:table>
</file>

<file path=xl/tables/table3.xml><?xml version="1.0" encoding="utf-8"?>
<x:table xmlns:x="http://schemas.openxmlformats.org/spreadsheetml/2006/main" id="3" name="PagePriorityMap" displayName="PagePriorityMap" ref="A4:L18" headerRowCount="1" totalsRowCount="0" totalsRowShown="0">
  <x:tableColumns count="12">
    <x:tableColumn id="1" name="Order"/>
    <x:tableColumn id="2" name="Target route"/>
    <x:tableColumn id="3" name="Primary keyword"/>
    <x:tableColumn id="4" name="Intent"/>
    <x:tableColumn id="5" name="Cluster volume"/>
    <x:tableColumn id="6" name="Keyword volume"/>
    <x:tableColumn id="7" name="Priority"/>
    <x:tableColumn id="8" name="Content type"/>
    <x:tableColumn id="9" name="Status"/>
    <x:tableColumn id="10" name="Secondary keywords"/>
    <x:tableColumn id="11" name="Required on-page work"/>
    <x:tableColumn id="12" name="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ffaef029714342" /></Relationships>
</file>

<file path=xl/worksheets/_rels/sheet2.xml.rels>&#65279;<?xml version="1.0" encoding="utf-8"?><Relationships xmlns="http://schemas.openxmlformats.org/package/2006/relationships"><Relationship Type="http://schemas.openxmlformats.org/officeDocument/2006/relationships/table" Target="/xl/tables/table2.xml" Id="R3110980205574384" /></Relationships>
</file>

<file path=xl/worksheets/_rels/sheet3.xml.rels>&#65279;<?xml version="1.0" encoding="utf-8"?><Relationships xmlns="http://schemas.openxmlformats.org/package/2006/relationships"><Relationship Type="http://schemas.openxmlformats.org/officeDocument/2006/relationships/table" Target="/xl/tables/table3.xml" Id="R19f85eb8cdd44123" /></Relationships>
</file>

<file path=xl/worksheets/_rels/sheet4.xml.rels>&#65279;<?xml version="1.0" encoding="utf-8"?><Relationships xmlns="http://schemas.openxmlformats.org/package/2006/relationships"><Relationship Type="http://schemas.openxmlformats.org/officeDocument/2006/relationships/drawing" Target="/xl/drawings/drawing1.xml" Id="R727890bc3d7e4341"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33" hidden="0" customWidth="1"/>
    <x:col min="13" max="13" width="14" hidden="0" customWidth="1"/>
    <x:col min="14" max="14" width="14" hidden="0" customWidth="1"/>
    <x:col min="15" max="15" width="14" hidden="0" customWidth="1"/>
    <x:col min="16" max="16" width="14" hidden="0" customWidth="1"/>
    <x:col min="17" max="17" width="30" hidden="0" customWidth="1"/>
    <x:col min="18" max="18" width="30" hidden="0" customWidth="1"/>
  </x:cols>
  <x:sheetData>
    <x:row r="1" ht="30" customHeight="1">
      <x:c r="A1" s="3" t="str">
        <x:v>Raw keyword export</x:v>
      </x:c>
      <x:c r="B1" s="3"/>
      <x:c r="C1" s="3"/>
      <x:c r="D1" s="3"/>
      <x:c r="E1" s="3"/>
      <x:c r="F1" s="3"/>
      <x:c r="G1" s="3"/>
      <x:c r="H1" s="3"/>
      <x:c r="I1" s="3"/>
      <x:c r="J1" s="3"/>
      <x:c r="K1" s="3"/>
      <x:c r="L1" s="3"/>
      <x:c r="M1" s="3"/>
      <x:c r="N1" s="3"/>
      <x:c r="O1" s="3"/>
      <x:c r="P1" s="3"/>
      <x:c r="Q1" s="3"/>
      <x:c r="R1" s="3"/>
    </x:row>
    <x:row r="2" ht="24" customHeight="1">
      <x:c r="A2" s="5" t="str">
        <x:v>Unmodified values from the UTF-16, tab-separated source export · Source checked 2026-08-08</x:v>
      </x:c>
      <x:c r="B2" s="5"/>
      <x:c r="C2" s="5"/>
      <x:c r="D2" s="5"/>
      <x:c r="E2" s="5"/>
      <x:c r="F2" s="5"/>
      <x:c r="G2" s="5"/>
      <x:c r="H2" s="5"/>
      <x:c r="I2" s="5"/>
      <x:c r="J2" s="5"/>
      <x:c r="K2" s="5"/>
      <x:c r="L2" s="5"/>
      <x:c r="M2" s="5"/>
      <x:c r="N2" s="5"/>
      <x:c r="O2" s="5"/>
      <x:c r="P2" s="5"/>
      <x:c r="Q2" s="5"/>
      <x:c r="R2" s="5"/>
    </x:row>
    <x:row r="4" ht="34" customHeight="1">
      <x:c r="A4" s="14" t="str">
        <x:v>#</x:v>
      </x:c>
      <x:c r="B4" s="15" t="str">
        <x:v>Parent Topic</x:v>
      </x:c>
      <x:c r="C4" s="15" t="str">
        <x:v>Cluster Volume</x:v>
      </x:c>
      <x:c r="D4" s="15" t="str">
        <x:v>Cluster Global Volume</x:v>
      </x:c>
      <x:c r="E4" s="15" t="str">
        <x:v>Cluster Total Global Traffic potential</x:v>
      </x:c>
      <x:c r="F4" s="15" t="str">
        <x:v>Cluster keywords</x:v>
      </x:c>
      <x:c r="G4" s="15" t="str">
        <x:v>Difficulty</x:v>
      </x:c>
      <x:c r="H4" s="15" t="str">
        <x:v>Volume</x:v>
      </x:c>
      <x:c r="I4" s="15" t="str">
        <x:v>CPC</x:v>
      </x:c>
      <x:c r="J4" s="15" t="str">
        <x:v>CPS</x:v>
      </x:c>
      <x:c r="K4" s="15" t="str">
        <x:v>Last Update</x:v>
      </x:c>
      <x:c r="L4" s="15" t="str">
        <x:v>SERP Features</x:v>
      </x:c>
      <x:c r="M4" s="15" t="str">
        <x:v>Global volume</x:v>
      </x:c>
      <x:c r="N4" s="15" t="str">
        <x:v>Traffic potential</x:v>
      </x:c>
      <x:c r="O4" s="15" t="str">
        <x:v>Global traffic potential</x:v>
      </x:c>
      <x:c r="P4" s="15" t="str">
        <x:v>First seen</x:v>
      </x:c>
      <x:c r="Q4" s="15" t="str">
        <x:v>SV trend (08-2024 - 07-2026)</x:v>
      </x:c>
      <x:c r="R4" s="16" t="str">
        <x:v>SV Forecasting trend (08-2026 - 08-2027)</x:v>
      </x:c>
    </x:row>
    <x:row r="5">
      <x:c r="A5" s="30" t="n">
        <x:v>1</x:v>
      </x:c>
      <x:c r="B5" s="30" t="str">
        <x:v>assisted living</x:v>
      </x:c>
      <x:c r="C5" s="31" t="n">
        <x:v>3030</x:v>
      </x:c>
      <x:c r="D5" s="31" t="n">
        <x:v>115350</x:v>
      </x:c>
      <x:c r="E5" s="31" t="n">
        <x:v>26100</x:v>
      </x:c>
      <x:c r="F5" s="31" t="n">
        <x:v>9</x:v>
      </x:c>
      <x:c r="G5" s="31" t="n">
        <x:v>6</x:v>
      </x:c>
      <x:c r="H5" s="31" t="n">
        <x:v>1300</x:v>
      </x:c>
      <x:c r="I5" s="31" t="n">
        <x:v>0.25</x:v>
      </x:c>
      <x:c r="J5" s="31" t="n">
        <x:v>0.45</x:v>
      </x:c>
      <x:c r="K5" s="30" t="str">
        <x:v>2026-07-21 22:33:40</x:v>
      </x:c>
      <x:c r="L5" s="30" t="str">
        <x:v>AI Overview,Thumbnail,People also ask,Knowledge panel,Image pack</x:v>
      </x:c>
      <x:c r="M5" s="32" t="n">
        <x:v>69000</x:v>
      </x:c>
      <x:c r="N5" s="32" t="n">
        <x:v>600</x:v>
      </x:c>
      <x:c r="O5" s="32" t="n">
        <x:v>3300</x:v>
      </x:c>
      <x:c r="P5" s="32" t="str">
        <x:v>2015-09-13</x:v>
      </x:c>
      <x:c r="Q5" s="30" t="str">
        <x:v>1441, 3431, 1147, 1346, 1116, 1255, 4013, 4227, 2168, 1615, 1686, 2188, 2165, 1806, 2139, 1446, 820, 832, 743, 1037, 1043, 839, 835, 1012</x:v>
      </x:c>
      <x:c r="R5" s="30" t="str">
        <x:v>1171, 928, 605, 730, 644, 661, 1051, 794, 762, 929, 591, 770</x:v>
      </x:c>
    </x:row>
    <x:row r="6">
      <x:c r="A6" s="33" t="n">
        <x:v>2</x:v>
      </x:c>
      <x:c r="B6" s="33" t="str">
        <x:v>senior living near me</x:v>
      </x:c>
      <x:c r="C6" s="34" t="n">
        <x:v>1380</x:v>
      </x:c>
      <x:c r="D6" s="34" t="n">
        <x:v>87770</x:v>
      </x:c>
      <x:c r="E6" s="34" t="n">
        <x:v>10250</x:v>
      </x:c>
      <x:c r="F6" s="34" t="n">
        <x:v>5</x:v>
      </x:c>
      <x:c r="G6" s="34" t="n">
        <x:v>6</x:v>
      </x:c>
      <x:c r="H6" s="34" t="n">
        <x:v>700</x:v>
      </x:c>
      <x:c r="I6" s="34" t="n">
        <x:v>0.06</x:v>
      </x:c>
      <x:c r="J6" s="34" t="str"/>
      <x:c r="K6" s="33" t="str">
        <x:v>2026-07-24 21:58:44</x:v>
      </x:c>
      <x:c r="L6" s="33" t="str">
        <x:v>AI Overview,Thumbnail,People also ask,Knowledge panel,Video preview</x:v>
      </x:c>
      <x:c r="M6" s="35" t="n">
        <x:v>45000</x:v>
      </x:c>
      <x:c r="N6" s="35" t="n">
        <x:v>2300</x:v>
      </x:c>
      <x:c r="O6" s="35" t="n">
        <x:v>2300</x:v>
      </x:c>
      <x:c r="P6" s="35" t="str">
        <x:v>2018-03-31</x:v>
      </x:c>
      <x:c r="Q6" s="33" t="str">
        <x:v>671, 495, 696, 720, 847, 553, 592, 693, 939, 462, 1533, 360, 1289, 1495, 430, 210, 294, 309, 588, 711, 987, 615, 916, 696</x:v>
      </x:c>
      <x:c r="R6" s="33" t="str">
        <x:v>844, 826, 730, 680, 650, 632, 695, 975, 794, 669, 970, 750</x:v>
      </x:c>
    </x:row>
    <x:row r="7">
      <x:c r="A7" s="33" t="n">
        <x:v>3</x:v>
      </x:c>
      <x:c r="B7" s="33" t="str">
        <x:v>assisted living chennai</x:v>
      </x:c>
      <x:c r="C7" s="34" t="n">
        <x:v>930</x:v>
      </x:c>
      <x:c r="D7" s="34" t="n">
        <x:v>1080</x:v>
      </x:c>
      <x:c r="E7" s="34" t="n">
        <x:v>1300</x:v>
      </x:c>
      <x:c r="F7" s="34" t="n">
        <x:v>5</x:v>
      </x:c>
      <x:c r="G7" s="34" t="n">
        <x:v>10</x:v>
      </x:c>
      <x:c r="H7" s="34" t="n">
        <x:v>700</x:v>
      </x:c>
      <x:c r="I7" s="34" t="n">
        <x:v>0.25</x:v>
      </x:c>
      <x:c r="J7" s="34" t="str"/>
      <x:c r="K7" s="33" t="str">
        <x:v>2026-08-01 05:43:20</x:v>
      </x:c>
      <x:c r="L7" s="33" t="str">
        <x:v>Local pack,People also ask,Video preview</x:v>
      </x:c>
      <x:c r="M7" s="35" t="n">
        <x:v>800</x:v>
      </x:c>
      <x:c r="N7" s="35" t="n">
        <x:v>250</x:v>
      </x:c>
      <x:c r="O7" s="35" t="n">
        <x:v>250</x:v>
      </x:c>
      <x:c r="P7" s="35" t="str">
        <x:v>2015-11-03</x:v>
      </x:c>
      <x:c r="Q7" s="33" t="str">
        <x:v>57, 234, 486, 535, 61, 547, 290, 505, 70, 50, 43, 508, 62, 665, 803, 1120, 1081, 1024, 905, 550, 464, 551, 701, 1086</x:v>
      </x:c>
      <x:c r="R7" s="33" t="str">
        <x:v>1035, 1153, 1201, 1208, 1246, 1328, 1272, 1280, 1285, 1287, 1335, 1393</x:v>
      </x:c>
    </x:row>
    <x:row r="8">
      <x:c r="A8" s="33" t="n">
        <x:v>4</x:v>
      </x:c>
      <x:c r="B8" s="33" t="str">
        <x:v>assisted living facilities</x:v>
      </x:c>
      <x:c r="C8" s="34" t="n">
        <x:v>610</x:v>
      </x:c>
      <x:c r="D8" s="34" t="n">
        <x:v>16400</x:v>
      </x:c>
      <x:c r="E8" s="34" t="n">
        <x:v>8330</x:v>
      </x:c>
      <x:c r="F8" s="34" t="n">
        <x:v>8</x:v>
      </x:c>
      <x:c r="G8" s="34" t="n">
        <x:v>12</x:v>
      </x:c>
      <x:c r="H8" s="34" t="n">
        <x:v>450</x:v>
      </x:c>
      <x:c r="I8" s="34" t="n">
        <x:v>0.15</x:v>
      </x:c>
      <x:c r="J8" s="34" t="str"/>
      <x:c r="K8" s="33" t="str">
        <x:v>2026-08-01 15:42:45</x:v>
      </x:c>
      <x:c r="L8" s="33" t="str">
        <x:v>AI Overview,Thumbnail,Local pack,People also ask,Video preview</x:v>
      </x:c>
      <x:c r="M8" s="35" t="n">
        <x:v>15000</x:v>
      </x:c>
      <x:c r="N8" s="35" t="n">
        <x:v>600</x:v>
      </x:c>
      <x:c r="O8" s="35" t="n">
        <x:v>3300</x:v>
      </x:c>
      <x:c r="P8" s="35" t="str">
        <x:v>2016-01-30</x:v>
      </x:c>
      <x:c r="Q8" s="33" t="str">
        <x:v>556, 552, 755, 663, 579, 635, 318, 429, 670, 500, 619, 568, 820, 834, 418, 335, 328, 406, 284, 317, 302, 432, 367, 383</x:v>
      </x:c>
      <x:c r="R8" s="33" t="str">
        <x:v>377, 381, 331, 367, 372, 385, 389, 320, 426, 428, 363, 379</x:v>
      </x:c>
    </x:row>
    <x:row r="9">
      <x:c r="A9" s="33" t="n">
        <x:v>5</x:v>
      </x:c>
      <x:c r="B9" s="33" t="str">
        <x:v>athulya senior care</x:v>
      </x:c>
      <x:c r="C9" s="34" t="n">
        <x:v>350</x:v>
      </x:c>
      <x:c r="D9" s="34" t="n">
        <x:v>450</x:v>
      </x:c>
      <x:c r="E9" s="34" t="n">
        <x:v>3900</x:v>
      </x:c>
      <x:c r="F9" s="34" t="n">
        <x:v>2</x:v>
      </x:c>
      <x:c r="G9" s="34" t="n">
        <x:v>16</x:v>
      </x:c>
      <x:c r="H9" s="34" t="n">
        <x:v>2100</x:v>
      </x:c>
      <x:c r="I9" s="34" t="n">
        <x:v>0.2</x:v>
      </x:c>
      <x:c r="J9" s="34" t="str"/>
      <x:c r="K9" s="33" t="str">
        <x:v>2026-07-31 03:57:07</x:v>
      </x:c>
      <x:c r="L9" s="33" t="str">
        <x:v>Local pack,Sitelinks,People also ask,Video preview</x:v>
      </x:c>
      <x:c r="M9" s="35" t="n">
        <x:v>2300</x:v>
      </x:c>
      <x:c r="N9" s="35" t="n">
        <x:v>1700</x:v>
      </x:c>
      <x:c r="O9" s="35" t="n">
        <x:v>1800</x:v>
      </x:c>
      <x:c r="P9" s="35" t="str">
        <x:v>2021-10-04</x:v>
      </x:c>
      <x:c r="Q9" s="33" t="str">
        <x:v>3205, 3138, 760, 1266, 3919, 3952, 3769, 4595, 4517, 711, 567, 793, 3636, 3567, 317, 559, 3519, 3509, 2425, 2944, 2965, 269, 229, 195</x:v>
      </x:c>
      <x:c r="R9" s="33" t="str">
        <x:v>2432, 2416, 120, 102, 3051, 3037, 2046, 2778, 2851, 38, 33, 28</x:v>
      </x:c>
    </x:row>
    <x:row r="10">
      <x:c r="A10" s="33" t="n">
        <x:v>6</x:v>
      </x:c>
      <x:c r="B10" s="33" t="str">
        <x:v>senior living</x:v>
      </x:c>
      <x:c r="C10" s="34" t="n">
        <x:v>210</x:v>
      </x:c>
      <x:c r="D10" s="34" t="n">
        <x:v>8700</x:v>
      </x:c>
      <x:c r="E10" s="34" t="n">
        <x:v>6800</x:v>
      </x:c>
      <x:c r="F10" s="34" t="n">
        <x:v>3</x:v>
      </x:c>
      <x:c r="G10" s="34" t="n">
        <x:v>10</x:v>
      </x:c>
      <x:c r="H10" s="34" t="n">
        <x:v>1300</x:v>
      </x:c>
      <x:c r="I10" s="34" t="n">
        <x:v>0.15</x:v>
      </x:c>
      <x:c r="J10" s="34" t="n">
        <x:v>0.71</x:v>
      </x:c>
      <x:c r="K10" s="33" t="str">
        <x:v>2026-07-25 22:01:54</x:v>
      </x:c>
      <x:c r="L10" s="33" t="str">
        <x:v>AI Overview,Thumbnail,Image pack,People also ask,Knowledge panel,Video preview</x:v>
      </x:c>
      <x:c r="M10" s="35" t="n">
        <x:v>46000</x:v>
      </x:c>
      <x:c r="N10" s="35" t="n">
        <x:v>2100</x:v>
      </x:c>
      <x:c r="O10" s="35" t="n">
        <x:v>2200</x:v>
      </x:c>
      <x:c r="P10" s="35" t="str">
        <x:v>2015-09-11</x:v>
      </x:c>
      <x:c r="Q10" s="33" t="str">
        <x:v>1312, 1532, 1519, 1484, 1274, 1128, 1207, 1172, 1037, 1406, 1100, 1205, 1325, 1545, 1529, 1492, 1279, 1131, 1210, 1174, 1039, 1408, 1101, 1206</x:v>
      </x:c>
      <x:c r="R10" s="33" t="str">
        <x:v>1326, 1545, 1530, 1492, 1280, 1132, 1210, 1175, 1039, 1408, 1101, 1206</x:v>
      </x:c>
    </x:row>
    <x:row r="11">
      <x:c r="A11" s="33" t="n">
        <x:v>7</x:v>
      </x:c>
      <x:c r="B11" s="33" t="str">
        <x:v>luxury retirement homes in mumbai</x:v>
      </x:c>
      <x:c r="C11" s="34" t="n">
        <x:v>200</x:v>
      </x:c>
      <x:c r="D11" s="34" t="n">
        <x:v>250</x:v>
      </x:c>
      <x:c r="E11" s="34" t="n">
        <x:v>0</x:v>
      </x:c>
      <x:c r="F11" s="34" t="n">
        <x:v>1</x:v>
      </x:c>
      <x:c r="G11" s="34" t="n">
        <x:v>0</x:v>
      </x:c>
      <x:c r="H11" s="34" t="n">
        <x:v>20</x:v>
      </x:c>
      <x:c r="I11" s="34" t="n">
        <x:v>0.1</x:v>
      </x:c>
      <x:c r="J11" s="34" t="str"/>
      <x:c r="K11" s="33" t="str">
        <x:v>2026-07-15 00:53:00</x:v>
      </x:c>
      <x:c r="L11" s="33" t="str">
        <x:v>AI Overview,Thumbnail,Local pack,People also ask</x:v>
      </x:c>
      <x:c r="M11" s="35" t="n">
        <x:v>30</x:v>
      </x:c>
      <x:c r="N11" s="35" t="n">
        <x:v>250</x:v>
      </x:c>
      <x:c r="O11" s="35" t="n">
        <x:v>250</x:v>
      </x:c>
      <x:c r="P11" s="35" t="str">
        <x:v>2020-07-23</x:v>
      </x:c>
      <x:c r="Q11" s="33" t="str">
        <x:v>8, 5, 10, 7, 19, 24, 20, 14, 16, 20, 17, 48, 28, 7, 19, 13, 22, 12, 12, 13, 13, 12, 26, 19</x:v>
      </x:c>
      <x:c r="R11" s="33" t="str"/>
    </x:row>
    <x:row r="12">
      <x:c r="A12" s="33" t="n">
        <x:v>8</x:v>
      </x:c>
      <x:c r="B12" s="33" t="str">
        <x:v>athulya senior care bangalore</x:v>
      </x:c>
      <x:c r="C12" s="34" t="n">
        <x:v>190</x:v>
      </x:c>
      <x:c r="D12" s="34" t="n">
        <x:v>5580</x:v>
      </x:c>
      <x:c r="E12" s="34" t="n">
        <x:v>2950</x:v>
      </x:c>
      <x:c r="F12" s="34" t="n">
        <x:v>4</x:v>
      </x:c>
      <x:c r="G12" s="34" t="n">
        <x:v>0</x:v>
      </x:c>
      <x:c r="H12" s="34" t="n">
        <x:v>1300</x:v>
      </x:c>
      <x:c r="I12" s="34" t="n">
        <x:v>0.2</x:v>
      </x:c>
      <x:c r="J12" s="34" t="str"/>
      <x:c r="K12" s="33" t="str">
        <x:v>2026-08-07 16:00:21</x:v>
      </x:c>
      <x:c r="L12" s="33" t="str">
        <x:v>People also ask,Knowledge panel,Video preview</x:v>
      </x:c>
      <x:c r="M12" s="35" t="n">
        <x:v>1400</x:v>
      </x:c>
      <x:c r="N12" s="35" t="n">
        <x:v>800</x:v>
      </x:c>
      <x:c r="O12" s="35" t="n">
        <x:v>800</x:v>
      </x:c>
      <x:c r="P12" s="35" t="str">
        <x:v>2022-08-04</x:v>
      </x:c>
      <x:c r="Q12" s="33" t="str">
        <x:v>1212, 1236, 1242, 438, 1540, 1810, 377, 1240, 1226, 1524, 1230, 1827, 1525, 1236, 1238, 977, 1223, 1268, 1173, 1310, 1354, 1370, 1318, 1371</x:v>
      </x:c>
      <x:c r="R12" s="33" t="str">
        <x:v>1498, 1520, 1498, 1355, 1495, 1486, 1393, 1534, 1580, 1599, 1551, 1607</x:v>
      </x:c>
    </x:row>
    <x:row r="13">
      <x:c r="A13" s="33" t="n">
        <x:v>9</x:v>
      </x:c>
      <x:c r="B13" s="33" t="str">
        <x:v>assisted living cost</x:v>
      </x:c>
      <x:c r="C13" s="34" t="n">
        <x:v>180</x:v>
      </x:c>
      <x:c r="D13" s="34" t="n">
        <x:v>4600</x:v>
      </x:c>
      <x:c r="E13" s="34" t="n">
        <x:v>17700</x:v>
      </x:c>
      <x:c r="F13" s="34" t="n">
        <x:v>2</x:v>
      </x:c>
      <x:c r="G13" s="34" t="n">
        <x:v>0</x:v>
      </x:c>
      <x:c r="H13" s="34" t="n">
        <x:v>150</x:v>
      </x:c>
      <x:c r="I13" s="34" t="n">
        <x:v>1.1</x:v>
      </x:c>
      <x:c r="J13" s="34" t="str"/>
      <x:c r="K13" s="33" t="str">
        <x:v>2026-07-15 10:49:30</x:v>
      </x:c>
      <x:c r="L13" s="33" t="str">
        <x:v>People also ask</x:v>
      </x:c>
      <x:c r="M13" s="35" t="n">
        <x:v>2900</x:v>
      </x:c>
      <x:c r="N13" s="35" t="n">
        <x:v>80</x:v>
      </x:c>
      <x:c r="O13" s="35" t="n">
        <x:v>8900</x:v>
      </x:c>
      <x:c r="P13" s="35" t="str">
        <x:v>2015-12-25</x:v>
      </x:c>
      <x:c r="Q13" s="33" t="str">
        <x:v>119, 136, 142, 173, 148, 181, 89, 181, 263, 215, 278, 20, 31, 40, 35, 43, 42, 33, 39, 46, 1637, 45, 34, 278</x:v>
      </x:c>
      <x:c r="R13" s="33" t="str"/>
    </x:row>
    <x:row r="14">
      <x:c r="A14" s="33" t="n">
        <x:v>10</x:v>
      </x:c>
      <x:c r="B14" s="33" t="str">
        <x:v>the golden estate</x:v>
      </x:c>
      <x:c r="C14" s="34" t="n">
        <x:v>160</x:v>
      </x:c>
      <x:c r="D14" s="34" t="n">
        <x:v>3700</x:v>
      </x:c>
      <x:c r="E14" s="34" t="n">
        <x:v>2350</x:v>
      </x:c>
      <x:c r="F14" s="34" t="n">
        <x:v>4</x:v>
      </x:c>
      <x:c r="G14" s="34" t="n">
        <x:v>0</x:v>
      </x:c>
      <x:c r="H14" s="34" t="n">
        <x:v>400</x:v>
      </x:c>
      <x:c r="I14" s="34" t="n">
        <x:v>0.2</x:v>
      </x:c>
      <x:c r="J14" s="34" t="str"/>
      <x:c r="K14" s="33" t="str">
        <x:v>2026-07-18 16:51:32</x:v>
      </x:c>
      <x:c r="L14" s="33" t="str">
        <x:v>Sitelinks,People also ask,Knowledge panel</x:v>
      </x:c>
      <x:c r="M14" s="35" t="n">
        <x:v>450</x:v>
      </x:c>
      <x:c r="N14" s="35" t="n">
        <x:v>500</x:v>
      </x:c>
      <x:c r="O14" s="35" t="n">
        <x:v>500</x:v>
      </x:c>
      <x:c r="P14" s="35" t="str">
        <x:v>2015-09-02</x:v>
      </x:c>
      <x:c r="Q14" s="33" t="str">
        <x:v>390, 390, 396, 623, 996, 551, 1036, 824, 172, 160, 187, 189, 213, 174, 398, 597, 221, 268, 608, 747, 485, 576, 475, 490</x:v>
      </x:c>
      <x:c r="R14" s="33" t="str">
        <x:v>516, 471, 564, 660, 674, 514, 645, 597, 499, 590, 484, 498</x:v>
      </x:c>
    </x:row>
    <x:row r="15">
      <x:c r="A15" s="33" t="n">
        <x:v>11</x:v>
      </x:c>
      <x:c r="B15" s="33" t="str">
        <x:v>aayushka</x:v>
      </x:c>
      <x:c r="C15" s="34" t="n">
        <x:v>150</x:v>
      </x:c>
      <x:c r="D15" s="34" t="n">
        <x:v>200</x:v>
      </x:c>
      <x:c r="E15" s="34" t="n">
        <x:v>200</x:v>
      </x:c>
      <x:c r="F15" s="34" t="n">
        <x:v>1</x:v>
      </x:c>
      <x:c r="G15" s="34" t="n">
        <x:v>0</x:v>
      </x:c>
      <x:c r="H15" s="34" t="n">
        <x:v>70</x:v>
      </x:c>
      <x:c r="I15" s="34" t="n">
        <x:v>0.05</x:v>
      </x:c>
      <x:c r="J15" s="34" t="str"/>
      <x:c r="K15" s="33" t="str">
        <x:v>2026-07-07 04:18:38</x:v>
      </x:c>
      <x:c r="L15" s="33" t="str">
        <x:v>Sitelinks,Local pack,People also ask</x:v>
      </x:c>
      <x:c r="M15" s="35" t="n">
        <x:v>90</x:v>
      </x:c>
      <x:c r="N15" s="35" t="n">
        <x:v>150</x:v>
      </x:c>
      <x:c r="O15" s="35" t="n">
        <x:v>200</x:v>
      </x:c>
      <x:c r="P15" s="35" t="str">
        <x:v>2015-12-02</x:v>
      </x:c>
      <x:c r="Q15" s="33" t="str">
        <x:v>27, 21, 9, 25, 41, 33, 37, 23, 23, 33, 62, 65, 51, 62, 71, 81, 71, 53, 70, 65, 71, 96, 55, 75</x:v>
      </x:c>
      <x:c r="R15" s="33" t="str"/>
    </x:row>
    <x:row r="16">
      <x:c r="A16" s="33" t="n">
        <x:v>12</x:v>
      </x:c>
      <x:c r="B16" s="33" t="str">
        <x:v>assisted living vs nursing home</x:v>
      </x:c>
      <x:c r="C16" s="34" t="n">
        <x:v>150</x:v>
      </x:c>
      <x:c r="D16" s="34" t="n">
        <x:v>8800</x:v>
      </x:c>
      <x:c r="E16" s="34" t="n">
        <x:v>1000</x:v>
      </x:c>
      <x:c r="F16" s="34" t="n">
        <x:v>1</x:v>
      </x:c>
      <x:c r="G16" s="34" t="n">
        <x:v>9</x:v>
      </x:c>
      <x:c r="H16" s="34" t="n">
        <x:v>150</x:v>
      </x:c>
      <x:c r="I16" s="34" t="str"/>
      <x:c r="J16" s="34" t="str"/>
      <x:c r="K16" s="33" t="str">
        <x:v>2026-07-29 22:09:41</x:v>
      </x:c>
      <x:c r="L16" s="33" t="str">
        <x:v>AI Overview,Thumbnail,People also ask,Discussions</x:v>
      </x:c>
      <x:c r="M16" s="35" t="n">
        <x:v>8800</x:v>
      </x:c>
      <x:c r="N16" s="35" t="n">
        <x:v>50</x:v>
      </x:c>
      <x:c r="O16" s="35" t="n">
        <x:v>1000</x:v>
      </x:c>
      <x:c r="P16" s="35" t="str">
        <x:v>2016-08-15</x:v>
      </x:c>
      <x:c r="Q16" s="33" t="str">
        <x:v>64, 63, 61, 66, 89, 136, 128, 122, 106, 105, 133, 78, 80, 101, 50, 49, 99, 102, 52, 457, 510, 308, 140, 141</x:v>
      </x:c>
      <x:c r="R16" s="33" t="str">
        <x:v>136, 138, 138, 139, 145, 157, 149, 197, 215, 167, 180, 181</x:v>
      </x:c>
    </x:row>
    <x:row r="17">
      <x:c r="A17" s="33" t="n">
        <x:v>13</x:v>
      </x:c>
      <x:c r="B17" s="33" t="str">
        <x:v>priaashraya assisted living homes</x:v>
      </x:c>
      <x:c r="C17" s="34" t="n">
        <x:v>100</x:v>
      </x:c>
      <x:c r="D17" s="34" t="n">
        <x:v>100</x:v>
      </x:c>
      <x:c r="E17" s="34" t="n">
        <x:v>50</x:v>
      </x:c>
      <x:c r="F17" s="34" t="n">
        <x:v>1</x:v>
      </x:c>
      <x:c r="G17" s="34" t="n">
        <x:v>0</x:v>
      </x:c>
      <x:c r="H17" s="34" t="n">
        <x:v>100</x:v>
      </x:c>
      <x:c r="I17" s="34" t="n">
        <x:v>0.2</x:v>
      </x:c>
      <x:c r="J17" s="34" t="str"/>
      <x:c r="K17" s="33" t="str">
        <x:v>2026-08-01 07:52:17</x:v>
      </x:c>
      <x:c r="L17" s="33" t="str">
        <x:v>Sitelinks,People also ask</x:v>
      </x:c>
      <x:c r="M17" s="35" t="n">
        <x:v>100</x:v>
      </x:c>
      <x:c r="N17" s="35" t="n">
        <x:v>50</x:v>
      </x:c>
      <x:c r="O17" s="35" t="n">
        <x:v>50</x:v>
      </x:c>
      <x:c r="P17" s="35" t="str">
        <x:v>2018-08-12</x:v>
      </x:c>
      <x:c r="Q17" s="33" t="str">
        <x:v>46, 63, 108, 108, 106, 130, 94, 136, 100, 60, 36, 137, 144, 190, 144, 156, 147, 184, 92, 91, 35, 43, 60, 40</x:v>
      </x:c>
      <x:c r="R17" s="33" t="str"/>
    </x:row>
    <x:row r="18">
      <x:c r="A18" s="33" t="n">
        <x:v>14</x:v>
      </x:c>
      <x:c r="B18" s="33" t="str">
        <x:v>athulya senior care coimbatore</x:v>
      </x:c>
      <x:c r="C18" s="34" t="n">
        <x:v>100</x:v>
      </x:c>
      <x:c r="D18" s="34" t="n">
        <x:v>110</x:v>
      </x:c>
      <x:c r="E18" s="34" t="n">
        <x:v>600</x:v>
      </x:c>
      <x:c r="F18" s="34" t="n">
        <x:v>2</x:v>
      </x:c>
      <x:c r="G18" s="34" t="n">
        <x:v>0</x:v>
      </x:c>
      <x:c r="H18" s="34" t="n">
        <x:v>500</x:v>
      </x:c>
      <x:c r="I18" s="34" t="n">
        <x:v>0.25</x:v>
      </x:c>
      <x:c r="J18" s="34" t="str"/>
      <x:c r="K18" s="33" t="str">
        <x:v>2026-08-03 17:05:21</x:v>
      </x:c>
      <x:c r="L18" s="33" t="str">
        <x:v>People also ask,Video preview</x:v>
      </x:c>
      <x:c r="M18" s="35" t="n">
        <x:v>500</x:v>
      </x:c>
      <x:c r="N18" s="35" t="n">
        <x:v>300</x:v>
      </x:c>
      <x:c r="O18" s="35" t="n">
        <x:v>300</x:v>
      </x:c>
      <x:c r="P18" s="35" t="str">
        <x:v>2023-01-12</x:v>
      </x:c>
      <x:c r="Q18" s="33" t="str">
        <x:v>383, 303, 373, 453, 372, 458, 360, 366, 429, 450, 158, 537, 534, 535, 428, 425, 545, 513, 499, 489, 491, 484, 464, 503</x:v>
      </x:c>
      <x:c r="R18" s="33" t="str">
        <x:v>547, 523, 505, 520, 504, 521, 506, 497, 498, 491, 471, 511</x:v>
      </x:c>
    </x:row>
    <x:row r="19">
      <x:c r="A19" s="33" t="n">
        <x:v>15</x:v>
      </x:c>
      <x:c r="B19" s="33" t="str">
        <x:v>senior housing</x:v>
      </x:c>
      <x:c r="C19" s="34" t="n">
        <x:v>90</x:v>
      </x:c>
      <x:c r="D19" s="34" t="n">
        <x:v>4900</x:v>
      </x:c>
      <x:c r="E19" s="34" t="n">
        <x:v>3700</x:v>
      </x:c>
      <x:c r="F19" s="34" t="n">
        <x:v>2</x:v>
      </x:c>
      <x:c r="G19" s="34" t="n">
        <x:v>8</x:v>
      </x:c>
      <x:c r="H19" s="34" t="n">
        <x:v>300</x:v>
      </x:c>
      <x:c r="I19" s="34" t="n">
        <x:v>0.2</x:v>
      </x:c>
      <x:c r="J19" s="34" t="str"/>
      <x:c r="K19" s="33" t="str">
        <x:v>2026-06-19 21:15:20</x:v>
      </x:c>
      <x:c r="L19" s="33" t="str">
        <x:v>AI Overview,Thumbnail,People also ask,Knowledge panel</x:v>
      </x:c>
      <x:c r="M19" s="35" t="n">
        <x:v>9200</x:v>
      </x:c>
      <x:c r="N19" s="35" t="n">
        <x:v>2200</x:v>
      </x:c>
      <x:c r="O19" s="35" t="n">
        <x:v>2300</x:v>
      </x:c>
      <x:c r="P19" s="35" t="str">
        <x:v>2015-10-21</x:v>
      </x:c>
      <x:c r="Q19" s="33" t="str">
        <x:v>666, 837, 166, 182, 129, 158, 165, 386, 137, 514, 1278, 823, 190, 558, 466, 270, 76, 182, 71, 102, 146, 184, 385, 347</x:v>
      </x:c>
      <x:c r="R19" s="33" t="str">
        <x:v>235, 296, 210, 189, 174, 243, 195, 228, 223, 333, 474, 436</x:v>
      </x:c>
    </x:row>
    <x:row r="20">
      <x:c r="A20" s="33" t="n">
        <x:v>16</x:v>
      </x:c>
      <x:c r="B20" s="33" t="str">
        <x:v>assisted living pune</x:v>
      </x:c>
      <x:c r="C20" s="34" t="n">
        <x:v>90</x:v>
      </x:c>
      <x:c r="D20" s="34" t="n">
        <x:v>1700</x:v>
      </x:c>
      <x:c r="E20" s="34" t="n">
        <x:v>600</x:v>
      </x:c>
      <x:c r="F20" s="34" t="n">
        <x:v>2</x:v>
      </x:c>
      <x:c r="G20" s="34" t="n">
        <x:v>15</x:v>
      </x:c>
      <x:c r="H20" s="34" t="n">
        <x:v>200</x:v>
      </x:c>
      <x:c r="I20" s="34" t="n">
        <x:v>0.15</x:v>
      </x:c>
      <x:c r="J20" s="34" t="str"/>
      <x:c r="K20" s="33" t="str">
        <x:v>2026-07-24 03:35:41</x:v>
      </x:c>
      <x:c r="L20" s="33" t="str">
        <x:v>Local pack,People also ask</x:v>
      </x:c>
      <x:c r="M20" s="35" t="n">
        <x:v>200</x:v>
      </x:c>
      <x:c r="N20" s="35" t="n">
        <x:v>30</x:v>
      </x:c>
      <x:c r="O20" s="35" t="n">
        <x:v>30</x:v>
      </x:c>
      <x:c r="P20" s="35" t="str">
        <x:v>2016-03-01</x:v>
      </x:c>
      <x:c r="Q20" s="33" t="str">
        <x:v>122, 124, 129, 154, 179, 182, 119, 122, 140, 130, 89, 100, 152, 147, 146, 153, 198, 202, 181, 279, 189, 190, 163, 113</x:v>
      </x:c>
      <x:c r="R20" s="33" t="str">
        <x:v>156</x:v>
      </x:c>
    </x:row>
    <x:row r="21">
      <x:c r="A21" s="33" t="n">
        <x:v>17</x:v>
      </x:c>
      <x:c r="B21" s="33" t="str">
        <x:v>assisted living near me</x:v>
      </x:c>
      <x:c r="C21" s="34" t="n">
        <x:v>90</x:v>
      </x:c>
      <x:c r="D21" s="34" t="n">
        <x:v>15000</x:v>
      </x:c>
      <x:c r="E21" s="34" t="n">
        <x:v>600</x:v>
      </x:c>
      <x:c r="F21" s="34" t="n">
        <x:v>1</x:v>
      </x:c>
      <x:c r="G21" s="34" t="n">
        <x:v>33</x:v>
      </x:c>
      <x:c r="H21" s="34" t="n">
        <x:v>1000</x:v>
      </x:c>
      <x:c r="I21" s="34" t="n">
        <x:v>0.06</x:v>
      </x:c>
      <x:c r="J21" s="34" t="str"/>
      <x:c r="K21" s="33" t="str">
        <x:v>2026-07-31 10:29:51</x:v>
      </x:c>
      <x:c r="L21" s="33" t="str">
        <x:v>Local pack,People also ask,Video preview</x:v>
      </x:c>
      <x:c r="M21" s="35" t="n">
        <x:v>82000</x:v>
      </x:c>
      <x:c r="N21" s="35" t="n">
        <x:v>200</x:v>
      </x:c>
      <x:c r="O21" s="35" t="n">
        <x:v>250</x:v>
      </x:c>
      <x:c r="P21" s="35" t="str">
        <x:v>2018-11-05</x:v>
      </x:c>
      <x:c r="Q21" s="33" t="str">
        <x:v>890, 892, 790, 956, 957, 980, 876, 894, 903, 1144, 1083, 831, 1191, 483, 907, 874, 1220, 985, 785, 1371, 1126, 1159, 1223, 1130</x:v>
      </x:c>
      <x:c r="R21" s="33" t="str">
        <x:v>1148, 1058, 1082, 1217, 1094, 1107, 1108, 1125, 1171, 1253, 1317, 1225, 1243</x:v>
      </x:c>
    </x:row>
    <x:row r="22">
      <x:c r="A22" s="33" t="n">
        <x:v>18</x:v>
      </x:c>
      <x:c r="B22" s="33" t="str">
        <x:v>old age home monthly cost in chennai</x:v>
      </x:c>
      <x:c r="C22" s="34" t="n">
        <x:v>70</x:v>
      </x:c>
      <x:c r="D22" s="34" t="n">
        <x:v>100</x:v>
      </x:c>
      <x:c r="E22" s="34" t="n">
        <x:v>20</x:v>
      </x:c>
      <x:c r="F22" s="34" t="n">
        <x:v>1</x:v>
      </x:c>
      <x:c r="G22" s="34" t="n">
        <x:v>0</x:v>
      </x:c>
      <x:c r="H22" s="34" t="n">
        <x:v>250</x:v>
      </x:c>
      <x:c r="I22" s="34" t="n">
        <x:v>0.1</x:v>
      </x:c>
      <x:c r="J22" s="34" t="str"/>
      <x:c r="K22" s="33" t="str">
        <x:v>2026-07-20 13:25:50</x:v>
      </x:c>
      <x:c r="L22" s="33" t="str">
        <x:v>AI Overview,Thumbnail,People also ask</x:v>
      </x:c>
      <x:c r="M22" s="35" t="n">
        <x:v>250</x:v>
      </x:c>
      <x:c r="N22" s="35" t="n">
        <x:v>200</x:v>
      </x:c>
      <x:c r="O22" s="35" t="n">
        <x:v>250</x:v>
      </x:c>
      <x:c r="P22" s="35" t="str">
        <x:v>2021-04-19</x:v>
      </x:c>
      <x:c r="Q22" s="33" t="str">
        <x:v>112, 138, 187, 178, 190, 196, 160, 208, 201, 193, 180, 187, 164, 240, 294, 234, 242, 250, 240, 242, 234, 232, 224, 221</x:v>
      </x:c>
      <x:c r="R22" s="33" t="str">
        <x:v>237, 238, 243, 236, 226, 236, 226, 228, 221, 218, 211, 207</x:v>
      </x:c>
    </x:row>
    <x:row r="23">
      <x:c r="A23" s="33" t="n">
        <x:v>19</x:v>
      </x:c>
      <x:c r="B23" s="33" t="str">
        <x:v>athulya</x:v>
      </x:c>
      <x:c r="C23" s="34" t="n">
        <x:v>70</x:v>
      </x:c>
      <x:c r="D23" s="34" t="n">
        <x:v>70</x:v>
      </x:c>
      <x:c r="E23" s="34" t="n">
        <x:v>1800</x:v>
      </x:c>
      <x:c r="F23" s="34" t="n">
        <x:v>1</x:v>
      </x:c>
      <x:c r="G23" s="34" t="n">
        <x:v>9</x:v>
      </x:c>
      <x:c r="H23" s="34" t="n">
        <x:v>3200</x:v>
      </x:c>
      <x:c r="I23" s="34" t="n">
        <x:v>0.03</x:v>
      </x:c>
      <x:c r="J23" s="34" t="n">
        <x:v>0.5</x:v>
      </x:c>
      <x:c r="K23" s="33" t="str">
        <x:v>2026-08-03 15:56:35</x:v>
      </x:c>
      <x:c r="L23" s="33" t="str">
        <x:v>People also ask,AI Overview,Thumbnail,Video preview,Image pack</x:v>
      </x:c>
      <x:c r="M23" s="35" t="n">
        <x:v>3800</x:v>
      </x:c>
      <x:c r="N23" s="35" t="n">
        <x:v>1300</x:v>
      </x:c>
      <x:c r="O23" s="35" t="n">
        <x:v>1600</x:v>
      </x:c>
      <x:c r="P23" s="35" t="str">
        <x:v>2015-09-03</x:v>
      </x:c>
      <x:c r="Q23" s="33" t="str">
        <x:v>3765, 3346, 3278, 5056, 4316, 3478, 4181, 3788, 4339, 4044, 3618, 3137, 2970, 2582, 2515, 4361, 3569, 2734, 3472, 3076, 3629, 3361, 2952, 2487</x:v>
      </x:c>
      <x:c r="R23" s="33" t="str">
        <x:v>2330, 1957, 1900, 3736, 2960, 2143, 2883, 2499, 3054, 2799, 2403, 1951</x:v>
      </x:c>
    </x:row>
    <x:row r="24">
      <x:c r="A24" s="33" t="n">
        <x:v>20</x:v>
      </x:c>
      <x:c r="B24" s="33" t="str">
        <x:v>memory care</x:v>
      </x:c>
      <x:c r="C24" s="34" t="n">
        <x:v>70</x:v>
      </x:c>
      <x:c r="D24" s="34" t="n">
        <x:v>10100</x:v>
      </x:c>
      <x:c r="E24" s="34" t="n">
        <x:v>10100</x:v>
      </x:c>
      <x:c r="F24" s="34" t="n">
        <x:v>3</x:v>
      </x:c>
      <x:c r="G24" s="34" t="n">
        <x:v>20</x:v>
      </x:c>
      <x:c r="H24" s="34" t="n">
        <x:v>900</x:v>
      </x:c>
      <x:c r="I24" s="34" t="n">
        <x:v>0.2</x:v>
      </x:c>
      <x:c r="J24" s="34" t="str"/>
      <x:c r="K24" s="33" t="str">
        <x:v>2026-07-29 11:53:13</x:v>
      </x:c>
      <x:c r="L24" s="33" t="str">
        <x:v>AI Overview,Thumbnail,People also ask,Discussions,Knowledge panel</x:v>
      </x:c>
      <x:c r="M24" s="35" t="n">
        <x:v>33000</x:v>
      </x:c>
      <x:c r="N24" s="35" t="n">
        <x:v>350</x:v>
      </x:c>
      <x:c r="O24" s="35" t="n">
        <x:v>6900</x:v>
      </x:c>
      <x:c r="P24" s="35" t="str">
        <x:v>2015-09-02</x:v>
      </x:c>
      <x:c r="Q24" s="33" t="str">
        <x:v>1792, 1815, 776, 767, 983, 925, 974, 871, 689, 706, 818, 823, 911, 913, 1124, 798, 818, 929, 869, 841, 641, 716, 886, 863</x:v>
      </x:c>
      <x:c r="R24" s="33" t="str">
        <x:v>999, 966, 1020, 831, 840, 960, 909, 876, 667, 742, 918, 901</x:v>
      </x:c>
    </x:row>
    <x:row r="25">
      <x:c r="A25" s="33" t="n">
        <x:v>21</x:v>
      </x:c>
      <x:c r="B25" s="33" t="str">
        <x:v>assisted living mumbai</x:v>
      </x:c>
      <x:c r="C25" s="34" t="n">
        <x:v>70</x:v>
      </x:c>
      <x:c r="D25" s="34" t="n">
        <x:v>80</x:v>
      </x:c>
      <x:c r="E25" s="34" t="n">
        <x:v>50</x:v>
      </x:c>
      <x:c r="F25" s="34" t="n">
        <x:v>1</x:v>
      </x:c>
      <x:c r="G25" s="34" t="n">
        <x:v>17</x:v>
      </x:c>
      <x:c r="H25" s="34" t="n">
        <x:v>200</x:v>
      </x:c>
      <x:c r="I25" s="34" t="n">
        <x:v>0.1</x:v>
      </x:c>
      <x:c r="J25" s="34" t="str"/>
      <x:c r="K25" s="33" t="str">
        <x:v>2026-07-29 20:56:40</x:v>
      </x:c>
      <x:c r="L25" s="33" t="str">
        <x:v>Local pack,People also ask</x:v>
      </x:c>
      <x:c r="M25" s="35" t="n">
        <x:v>250</x:v>
      </x:c>
      <x:c r="N25" s="35" t="n">
        <x:v>0</x:v>
      </x:c>
      <x:c r="O25" s="35" t="n">
        <x:v>0</x:v>
      </x:c>
      <x:c r="P25" s="35" t="str">
        <x:v>2017-08-25</x:v>
      </x:c>
      <x:c r="Q25" s="33" t="str">
        <x:v>143, 153, 136, 179, 138, 178, 159, 167, 139, 151, 161, 171, 148, 139, 171, 195, 190, 179, 170, 197, 149, 177, 228, 190</x:v>
      </x:c>
      <x:c r="R25" s="33" t="str"/>
    </x:row>
    <x:row r="26">
      <x:c r="A26" s="33" t="n">
        <x:v>22</x:v>
      </x:c>
      <x:c r="B26" s="33" t="str">
        <x:v>athulya senior care kochi</x:v>
      </x:c>
      <x:c r="C26" s="34" t="n">
        <x:v>70</x:v>
      </x:c>
      <x:c r="D26" s="34" t="n">
        <x:v>70</x:v>
      </x:c>
      <x:c r="E26" s="34" t="n">
        <x:v>450</x:v>
      </x:c>
      <x:c r="F26" s="34" t="n">
        <x:v>2</x:v>
      </x:c>
      <x:c r="G26" s="34" t="n">
        <x:v>0</x:v>
      </x:c>
      <x:c r="H26" s="34" t="n">
        <x:v>500</x:v>
      </x:c>
      <x:c r="I26" s="34" t="n">
        <x:v>0.15</x:v>
      </x:c>
      <x:c r="J26" s="34" t="str"/>
      <x:c r="K26" s="33" t="str">
        <x:v>2026-07-10 03:35:48</x:v>
      </x:c>
      <x:c r="L26" s="33" t="str">
        <x:v>People also ask,Video preview</x:v>
      </x:c>
      <x:c r="M26" s="35" t="n">
        <x:v>500</x:v>
      </x:c>
      <x:c r="N26" s="35" t="n">
        <x:v>250</x:v>
      </x:c>
      <x:c r="O26" s="35" t="n">
        <x:v>250</x:v>
      </x:c>
      <x:c r="P26" s="35" t="str">
        <x:v>2023-01-17</x:v>
      </x:c>
      <x:c r="Q26" s="33" t="str">
        <x:v>406, 330, 511, 500, 508, 325, 399, 506, 504, 613, 499, 761, 742, 733, 492, 487, 342, 389, 357, 417, 358, 422, 403, 446</x:v>
      </x:c>
      <x:c r="R26" s="33" t="str">
        <x:v>433, 436, 428, 407, 384, 358, 400, 433, 374, 438, 417, 465</x:v>
      </x:c>
    </x:row>
    <x:row r="27">
      <x:c r="A27" s="33" t="n">
        <x:v>23</x:v>
      </x:c>
      <x:c r="B27" s="33" t="str">
        <x:v>athulya assisted living cost</x:v>
      </x:c>
      <x:c r="C27" s="34" t="n">
        <x:v>70</x:v>
      </x:c>
      <x:c r="D27" s="34" t="n">
        <x:v>110</x:v>
      </x:c>
      <x:c r="E27" s="34" t="n">
        <x:v>130</x:v>
      </x:c>
      <x:c r="F27" s="34" t="n">
        <x:v>2</x:v>
      </x:c>
      <x:c r="G27" s="34" t="n">
        <x:v>0</x:v>
      </x:c>
      <x:c r="H27" s="34" t="n">
        <x:v>70</x:v>
      </x:c>
      <x:c r="I27" s="34" t="n">
        <x:v>0.2</x:v>
      </x:c>
      <x:c r="J27" s="34" t="str"/>
      <x:c r="K27" s="33" t="str">
        <x:v>2026-07-15 23:53:21</x:v>
      </x:c>
      <x:c r="L27" s="33" t="str">
        <x:v>Local pack,People also ask,Sitelinks</x:v>
      </x:c>
      <x:c r="M27" s="35" t="n">
        <x:v>100</x:v>
      </x:c>
      <x:c r="N27" s="35" t="n">
        <x:v>20</x:v>
      </x:c>
      <x:c r="O27" s="35" t="n">
        <x:v>20</x:v>
      </x:c>
      <x:c r="P27" s="35" t="str">
        <x:v>2018-09-25</x:v>
      </x:c>
      <x:c r="Q27" s="33" t="str">
        <x:v>314, 259, 255, 209, 208, 171, 137, 169, 166, 138, 89, 133, 134, 118, 74, 65, 65, 62, 47, 52, 65, 33, 35, 70</x:v>
      </x:c>
      <x:c r="R27" s="33" t="str">
        <x:v>86, 76, 67, 49, 63, 58, 41, 48, 61, 29, 31, 66</x:v>
      </x:c>
    </x:row>
    <x:row r="28">
      <x:c r="A28" s="33" t="n">
        <x:v>24</x:v>
      </x:c>
      <x:c r="B28" s="33" t="str">
        <x:v>what is assisted living</x:v>
      </x:c>
      <x:c r="C28" s="34" t="n">
        <x:v>60</x:v>
      </x:c>
      <x:c r="D28" s="34" t="n">
        <x:v>9300</x:v>
      </x:c>
      <x:c r="E28" s="34" t="n">
        <x:v>38000</x:v>
      </x:c>
      <x:c r="F28" s="34" t="n">
        <x:v>2</x:v>
      </x:c>
      <x:c r="G28" s="34" t="n">
        <x:v>45</x:v>
      </x:c>
      <x:c r="H28" s="34" t="n">
        <x:v>50</x:v>
      </x:c>
      <x:c r="I28" s="34" t="n">
        <x:v>0.04</x:v>
      </x:c>
      <x:c r="J28" s="34" t="str"/>
      <x:c r="K28" s="33" t="str">
        <x:v>2026-07-04 21:33:11</x:v>
      </x:c>
      <x:c r="L28" s="33" t="str">
        <x:v>People also ask,Sitelinks</x:v>
      </x:c>
      <x:c r="M28" s="35" t="n">
        <x:v>8700</x:v>
      </x:c>
      <x:c r="N28" s="35" t="n">
        <x:v>100</x:v>
      </x:c>
      <x:c r="O28" s="35" t="n">
        <x:v>19000</x:v>
      </x:c>
      <x:c r="P28" s="35" t="str">
        <x:v>2016-01-04</x:v>
      </x:c>
      <x:c r="Q28" s="33" t="str">
        <x:v>143, 147, 150, 143, 129, 190, 87, 137, 193, 157, 186, 47, 40, 22, 31, 22, 39, 93, 49, 39, 77, 48, 38, 39</x:v>
      </x:c>
      <x:c r="R28" s="33" t="str"/>
    </x:row>
    <x:row r="29">
      <x:c r="A29" s="33" t="n">
        <x:v>25</x:v>
      </x:c>
      <x:c r="B29" s="33" t="str">
        <x:v>retirement homes in delhi</x:v>
      </x:c>
      <x:c r="C29" s="34" t="n">
        <x:v>50</x:v>
      </x:c>
      <x:c r="D29" s="34" t="n">
        <x:v>60</x:v>
      </x:c>
      <x:c r="E29" s="34" t="n">
        <x:v>80</x:v>
      </x:c>
      <x:c r="F29" s="34" t="n">
        <x:v>1</x:v>
      </x:c>
      <x:c r="G29" s="34" t="n">
        <x:v>30</x:v>
      </x:c>
      <x:c r="H29" s="34" t="n">
        <x:v>80</x:v>
      </x:c>
      <x:c r="I29" s="34" t="n">
        <x:v>0.1</x:v>
      </x:c>
      <x:c r="J29" s="34" t="str"/>
      <x:c r="K29" s="33" t="str">
        <x:v>2026-06-28 12:15:17</x:v>
      </x:c>
      <x:c r="L29" s="33" t="str">
        <x:v>Local pack,Thumbnail,People also ask</x:v>
      </x:c>
      <x:c r="M29" s="35" t="n">
        <x:v>90</x:v>
      </x:c>
      <x:c r="N29" s="35" t="n">
        <x:v>150</x:v>
      </x:c>
      <x:c r="O29" s="35" t="n">
        <x:v>150</x:v>
      </x:c>
      <x:c r="P29" s="35" t="str">
        <x:v>2015-10-21</x:v>
      </x:c>
      <x:c r="Q29" s="33" t="str">
        <x:v>31, 30, 15, 31, 37, 26, 20, 32, 41, 36, 39, 61, 84, 63, 65, 60, 82, 68, 66, 111, 72, 93, 85, 71</x:v>
      </x:c>
      <x:c r="R29" s="33" t="str"/>
    </x:row>
    <x:row r="30">
      <x:c r="A30" s="33" t="n">
        <x:v>26</x:v>
      </x:c>
      <x:c r="B30" s="33" t="str">
        <x:v>artha assisted living</x:v>
      </x:c>
      <x:c r="C30" s="34" t="n">
        <x:v>30</x:v>
      </x:c>
      <x:c r="D30" s="34" t="n">
        <x:v>30</x:v>
      </x:c>
      <x:c r="E30" s="34" t="n">
        <x:v>20</x:v>
      </x:c>
      <x:c r="F30" s="34" t="n">
        <x:v>1</x:v>
      </x:c>
      <x:c r="G30" s="34" t="n">
        <x:v>0</x:v>
      </x:c>
      <x:c r="H30" s="34" t="n">
        <x:v>30</x:v>
      </x:c>
      <x:c r="I30" s="34" t="n">
        <x:v>0.4</x:v>
      </x:c>
      <x:c r="J30" s="34" t="str"/>
      <x:c r="K30" s="33" t="str">
        <x:v>2026-07-02 13:20:13</x:v>
      </x:c>
      <x:c r="L30" s="33" t="str">
        <x:v>Sitelinks,People also ask</x:v>
      </x:c>
      <x:c r="M30" s="35" t="n">
        <x:v>30</x:v>
      </x:c>
      <x:c r="N30" s="35" t="n">
        <x:v>20</x:v>
      </x:c>
      <x:c r="O30" s="35" t="n">
        <x:v>20</x:v>
      </x:c>
      <x:c r="P30" s="35" t="str">
        <x:v>2022-04-08</x:v>
      </x:c>
      <x:c r="Q30" s="33" t="str">
        <x:v>62, 82, 57, 84, 102, 118, 168, 108, 48, 56, 37, 31, 42, 38, 21, 28, 12, 28, 20, 21, 31, 15, 16, 22</x:v>
      </x:c>
      <x:c r="R30" s="33" t="str"/>
    </x:row>
    <x:row r="31">
      <x:c r="A31" s="33" t="n">
        <x:v>27</x:v>
      </x:c>
      <x:c r="B31" s="33" t="str">
        <x:v>senior living bangalore</x:v>
      </x:c>
      <x:c r="C31" s="34" t="n">
        <x:v>30</x:v>
      </x:c>
      <x:c r="D31" s="34" t="n">
        <x:v>7800</x:v>
      </x:c>
      <x:c r="E31" s="34" t="n">
        <x:v>350</x:v>
      </x:c>
      <x:c r="F31" s="34" t="n">
        <x:v>1</x:v>
      </x:c>
      <x:c r="G31" s="34" t="n">
        <x:v>3</x:v>
      </x:c>
      <x:c r="H31" s="34" t="n">
        <x:v>500</x:v>
      </x:c>
      <x:c r="I31" s="34" t="n">
        <x:v>0.15</x:v>
      </x:c>
      <x:c r="J31" s="34" t="str"/>
      <x:c r="K31" s="33" t="str">
        <x:v>2026-07-25 19:20:23</x:v>
      </x:c>
      <x:c r="L31" s="33" t="str">
        <x:v>Local pack,Video preview,People also ask</x:v>
      </x:c>
      <x:c r="M31" s="35" t="n">
        <x:v>600</x:v>
      </x:c>
      <x:c r="N31" s="35" t="n">
        <x:v>400</x:v>
      </x:c>
      <x:c r="O31" s="35" t="n">
        <x:v>400</x:v>
      </x:c>
      <x:c r="P31" s="35" t="str">
        <x:v>2016-07-02</x:v>
      </x:c>
      <x:c r="Q31" s="33" t="str">
        <x:v>453, 341, 465, 477, 186, 476, 353, 159, 164, 594, 712, 758, 518, 271, 633, 660, 233, 460, 386, 393, 369, 578, 559, 511</x:v>
      </x:c>
      <x:c r="R31" s="33" t="str">
        <x:v>502, 467, 482, 454, 425, 460, 386, 393, 369, 578, 559, 511</x:v>
      </x:c>
    </x:row>
    <x:row r="32">
      <x:c r="A32" s="33" t="n">
        <x:v>28</x:v>
      </x:c>
      <x:c r="B32" s="33" t="str">
        <x:v>assisted living costs</x:v>
      </x:c>
      <x:c r="C32" s="34" t="n">
        <x:v>20</x:v>
      </x:c>
      <x:c r="D32" s="34" t="n">
        <x:v>2800</x:v>
      </x:c>
      <x:c r="E32" s="34" t="n">
        <x:v>9400</x:v>
      </x:c>
      <x:c r="F32" s="34" t="n">
        <x:v>1</x:v>
      </x:c>
      <x:c r="G32" s="34" t="n">
        <x:v>13</x:v>
      </x:c>
      <x:c r="H32" s="34" t="n">
        <x:v>30</x:v>
      </x:c>
      <x:c r="I32" s="34" t="str"/>
      <x:c r="J32" s="34" t="str"/>
      <x:c r="K32" s="33" t="str">
        <x:v>2026-08-06 13:03:54</x:v>
      </x:c>
      <x:c r="L32" s="33" t="str">
        <x:v>People also ask,Sitelinks</x:v>
      </x:c>
      <x:c r="M32" s="35" t="n">
        <x:v>1700</x:v>
      </x:c>
      <x:c r="N32" s="35" t="n">
        <x:v>80</x:v>
      </x:c>
      <x:c r="O32" s="35" t="n">
        <x:v>8800</x:v>
      </x:c>
      <x:c r="P32" s="35" t="str">
        <x:v>2020-01-08</x:v>
      </x:c>
      <x:c r="Q32" s="33" t="str">
        <x:v>57, 58, 64, 90, 73, 94, 30, 71, 98, 85, 91, 55, 74, 55, 11, 13, 15, 11, 22, 6, 8, 13, 12, 11</x:v>
      </x:c>
      <x:c r="R32" s="33" t="str"/>
    </x:row>
    <x:row r="33">
      <x:c r="A33" s="33" t="n">
        <x:v>29</x:v>
      </x:c>
      <x:c r="B33" s="33" t="str">
        <x:v>ambient assisted living</x:v>
      </x:c>
      <x:c r="C33" s="34" t="n">
        <x:v>20</x:v>
      </x:c>
      <x:c r="D33" s="34" t="n">
        <x:v>500</x:v>
      </x:c>
      <x:c r="E33" s="34" t="n">
        <x:v>30</x:v>
      </x:c>
      <x:c r="F33" s="34" t="n">
        <x:v>1</x:v>
      </x:c>
      <x:c r="G33" s="34" t="n">
        <x:v>0</x:v>
      </x:c>
      <x:c r="H33" s="34" t="n">
        <x:v>20</x:v>
      </x:c>
      <x:c r="I33" s="34" t="str"/>
      <x:c r="J33" s="34" t="str"/>
      <x:c r="K33" s="33" t="str">
        <x:v>2026-07-12 02:44:22</x:v>
      </x:c>
      <x:c r="L33" s="33" t="str">
        <x:v>AI Overview,Thumbnail,People also ask,Image pack</x:v>
      </x:c>
      <x:c r="M33" s="35" t="n">
        <x:v>500</x:v>
      </x:c>
      <x:c r="N33" s="35" t="n">
        <x:v>10</x:v>
      </x:c>
      <x:c r="O33" s="35" t="n">
        <x:v>30</x:v>
      </x:c>
      <x:c r="P33" s="35" t="str">
        <x:v>2016-01-18</x:v>
      </x:c>
      <x:c r="Q33" s="33" t="str">
        <x:v>10, 22, 29, 13, 22, 34, 29, 38, 31, 13, 27, 24, 19, 14, 18, 11, 13, 17, 13, 11, 12, 25, 16, 21</x:v>
      </x:c>
      <x:c r="R33" s="33" t="str"/>
    </x:row>
    <x:row r="34">
      <x:c r="A34" s="33" t="n">
        <x:v>30</x:v>
      </x:c>
      <x:c r="B34" s="33" t="str">
        <x:v>memory care assisted living</x:v>
      </x:c>
      <x:c r="C34" s="34" t="n">
        <x:v>10</x:v>
      </x:c>
      <x:c r="D34" s="34" t="n">
        <x:v>900</x:v>
      </x:c>
      <x:c r="E34" s="34" t="n">
        <x:v>350</x:v>
      </x:c>
      <x:c r="F34" s="34" t="n">
        <x:v>1</x:v>
      </x:c>
      <x:c r="G34" s="34" t="n">
        <x:v>25</x:v>
      </x:c>
      <x:c r="H34" s="34" t="n">
        <x:v>30</x:v>
      </x:c>
      <x:c r="I34" s="34" t="n">
        <x:v>0.01</x:v>
      </x:c>
      <x:c r="J34" s="34" t="str"/>
      <x:c r="K34" s="33" t="str">
        <x:v>2026-07-28 05:48:07</x:v>
      </x:c>
      <x:c r="L34" s="33" t="str">
        <x:v>Local pack,People also ask,Sitelinks</x:v>
      </x:c>
      <x:c r="M34" s="35" t="n">
        <x:v>5200</x:v>
      </x:c>
      <x:c r="N34" s="35" t="n">
        <x:v>90</x:v>
      </x:c>
      <x:c r="O34" s="35" t="n">
        <x:v>3400</x:v>
      </x:c>
      <x:c r="P34" s="35" t="str">
        <x:v>2017-12-19</x:v>
      </x:c>
      <x:c r="Q34" s="33" t="str">
        <x:v>186, 199, 235, 291, 289, 306, 165, 328, 306, 236, 324, 72, 52, 24, 13, 9, 15, 51, 6, 52, 21, 13, 2, 13</x:v>
      </x:c>
      <x:c r="R34" s="33" t="str"/>
    </x:row>
    <x:row r="35">
      <x:c r="A35" s="33" t="n">
        <x:v>31</x:v>
      </x:c>
      <x:c r="B35" s="33" t="str">
        <x:v>memory care facility</x:v>
      </x:c>
      <x:c r="C35" s="34" t="n">
        <x:v>10</x:v>
      </x:c>
      <x:c r="D35" s="34" t="n">
        <x:v>2900</x:v>
      </x:c>
      <x:c r="E35" s="34" t="n">
        <x:v>3300</x:v>
      </x:c>
      <x:c r="F35" s="34" t="n">
        <x:v>1</x:v>
      </x:c>
      <x:c r="G35" s="34" t="n">
        <x:v>20</x:v>
      </x:c>
      <x:c r="H35" s="34" t="n">
        <x:v>30</x:v>
      </x:c>
      <x:c r="I35" s="34" t="n">
        <x:v>0.3</x:v>
      </x:c>
      <x:c r="J35" s="34" t="str"/>
      <x:c r="K35" s="33" t="str">
        <x:v>2026-07-29 13:39:18</x:v>
      </x:c>
      <x:c r="L35" s="33" t="str">
        <x:v>Local pack,People also ask,Discussions</x:v>
      </x:c>
      <x:c r="M35" s="35" t="n">
        <x:v>10000</x:v>
      </x:c>
      <x:c r="N35" s="35" t="n">
        <x:v>350</x:v>
      </x:c>
      <x:c r="O35" s="35" t="n">
        <x:v>6900</x:v>
      </x:c>
      <x:c r="P35" s="35" t="str">
        <x:v>2015-10-13</x:v>
      </x:c>
      <x:c r="Q35" s="33" t="str">
        <x:v>22, 28, 28, 36, 27, 36, 23, 38, 41, 46, 36, 20, 15, 18, 22, 34, 27, 41, 60, 85, 34, 39, 11, 9</x:v>
      </x:c>
      <x:c r="R35" s="33" t="str">
        <x:v>44, 7, 6, 45, 87, 14, 40, 3, 32, 29, 2, 1</x:v>
      </x:c>
    </x:row>
    <x:row r="36">
      <x:c r="A36" s="33" t="n">
        <x:v>32</x:v>
      </x:c>
      <x:c r="B36" s="33" t="str">
        <x:v>assisted living san diego</x:v>
      </x:c>
      <x:c r="C36" s="34" t="n">
        <x:v>10</x:v>
      </x:c>
      <x:c r="D36" s="34" t="n">
        <x:v>1000</x:v>
      </x:c>
      <x:c r="E36" s="34" t="n">
        <x:v>2100</x:v>
      </x:c>
      <x:c r="F36" s="34" t="n">
        <x:v>1</x:v>
      </x:c>
      <x:c r="G36" s="34" t="n">
        <x:v>46</x:v>
      </x:c>
      <x:c r="H36" s="34" t="n">
        <x:v>10</x:v>
      </x:c>
      <x:c r="I36" s="34" t="n">
        <x:v>1</x:v>
      </x:c>
      <x:c r="J36" s="34" t="str"/>
      <x:c r="K36" s="33" t="str">
        <x:v>2026-06-24 16:37:10</x:v>
      </x:c>
      <x:c r="L36" s="33" t="str">
        <x:v>Top ads,Paid sitelinks,Local pack,People also ask,Sitelinks,Thumbnail,Bottom ads</x:v>
      </x:c>
      <x:c r="M36" s="35" t="n">
        <x:v>1000</x:v>
      </x:c>
      <x:c r="N36" s="35" t="n">
        <x:v>0</x:v>
      </x:c>
      <x:c r="O36" s="35" t="n">
        <x:v>2100</x:v>
      </x:c>
      <x:c r="P36" s="35" t="str">
        <x:v>2020-01-10</x:v>
      </x:c>
      <x:c r="Q36" s="33" t="str">
        <x:v>13, 7, 15, 18, 20, 25, 15, 22, 16, 24, 37, 9, 12, 4, 7, 5, 9, 15, 5, 3, 7, 6, 6, 8</x:v>
      </x:c>
      <x:c r="R36" s="33" t="str"/>
    </x:row>
    <x:row r="37">
      <x:c r="A37" s="33" t="n">
        <x:v>33</x:v>
      </x:c>
      <x:c r="B37" s="33" t="str">
        <x:v>old age home yelahanka</x:v>
      </x:c>
      <x:c r="C37" s="34" t="n">
        <x:v>0</x:v>
      </x:c>
      <x:c r="D37" s="34" t="n">
        <x:v>0</x:v>
      </x:c>
      <x:c r="E37" s="34" t="n">
        <x:v>10</x:v>
      </x:c>
      <x:c r="F37" s="34" t="n">
        <x:v>1</x:v>
      </x:c>
      <x:c r="G37" s="34" t="n">
        <x:v>0</x:v>
      </x:c>
      <x:c r="H37" s="34" t="n">
        <x:v>100</x:v>
      </x:c>
      <x:c r="I37" s="34" t="n">
        <x:v>0.15</x:v>
      </x:c>
      <x:c r="J37" s="34" t="str"/>
      <x:c r="K37" s="33" t="str">
        <x:v>2026-06-26 21:10:51</x:v>
      </x:c>
      <x:c r="L37" s="33" t="str">
        <x:v>Local pack,People also ask</x:v>
      </x:c>
      <x:c r="M37" s="35" t="n">
        <x:v>100</x:v>
      </x:c>
      <x:c r="N37" s="35" t="n">
        <x:v>40</x:v>
      </x:c>
      <x:c r="O37" s="35" t="n">
        <x:v>40</x:v>
      </x:c>
      <x:c r="P37" s="35" t="str">
        <x:v>2018-11-26</x:v>
      </x:c>
      <x:c r="Q37" s="33" t="str">
        <x:v>28, 86, 53, 155, 135, 181, 138, 224, 166, 139, 114, 136, 134, 189, 142, 123, 134, 86, 79, 121, 100, 92, 86, 81</x:v>
      </x:c>
      <x:c r="R37" s="33" t="str"/>
    </x:row>
    <x:row r="38">
      <x:c r="A38" s="33" t="n">
        <x:v>34</x:v>
      </x:c>
      <x:c r="B38" s="33" t="str">
        <x:v>athulya assisted living arumbakkam</x:v>
      </x:c>
      <x:c r="C38" s="34" t="n">
        <x:v>0</x:v>
      </x:c>
      <x:c r="D38" s="34" t="n">
        <x:v>0</x:v>
      </x:c>
      <x:c r="E38" s="34" t="n">
        <x:v>0</x:v>
      </x:c>
      <x:c r="F38" s="34" t="n">
        <x:v>2</x:v>
      </x:c>
      <x:c r="G38" s="34" t="n">
        <x:v>0</x:v>
      </x:c>
      <x:c r="H38" s="34" t="str"/>
      <x:c r="I38" s="34" t="str"/>
      <x:c r="J38" s="34" t="str"/>
      <x:c r="K38" s="33" t="str">
        <x:v>2026-07-05 10:00:34</x:v>
      </x:c>
      <x:c r="L38" s="33" t="str">
        <x:v>People also ask,Video preview</x:v>
      </x:c>
      <x:c r="M38" s="35" t="str"/>
      <x:c r="N38" s="35" t="n">
        <x:v>0</x:v>
      </x:c>
      <x:c r="O38" s="35" t="n">
        <x:v>0</x:v>
      </x:c>
      <x:c r="P38" s="35" t="str">
        <x:v>2018-11-16</x:v>
      </x:c>
      <x:c r="Q38" s="33" t="str">
        <x:v>0, 4, 5, 0, 0, 0, 7, 1, 0, 0, 0, 0, 0, 0, 0, 0, 0, 0, 0, 0, 0, 0, 0, 0</x:v>
      </x:c>
      <x:c r="R38" s="33" t="str">
        <x:v>1</x:v>
      </x:c>
    </x:row>
    <x:row r="39">
      <x:c r="A39" s="33" t="n">
        <x:v>35</x:v>
      </x:c>
      <x:c r="B39" s="33" t="str">
        <x:v>vassar warner assisted living</x:v>
      </x:c>
      <x:c r="C39" s="34" t="n">
        <x:v>0</x:v>
      </x:c>
      <x:c r="D39" s="34" t="n">
        <x:v>0</x:v>
      </x:c>
      <x:c r="E39" s="34" t="n">
        <x:v>50</x:v>
      </x:c>
      <x:c r="F39" s="34" t="n">
        <x:v>1</x:v>
      </x:c>
      <x:c r="G39" s="34" t="n">
        <x:v>0</x:v>
      </x:c>
      <x:c r="H39" s="34" t="str"/>
      <x:c r="I39" s="34" t="str"/>
      <x:c r="J39" s="34" t="str"/>
      <x:c r="K39" s="33" t="str">
        <x:v>2026-07-23 07:42:31</x:v>
      </x:c>
      <x:c r="L39" s="33" t="str">
        <x:v>People also ask,Knowledge panel</x:v>
      </x:c>
      <x:c r="M39" s="35" t="str"/>
      <x:c r="N39" s="35" t="n">
        <x:v>0</x:v>
      </x:c>
      <x:c r="O39" s="35" t="n">
        <x:v>50</x:v>
      </x:c>
      <x:c r="P39" s="35" t="str">
        <x:v>2022-12-02</x:v>
      </x:c>
      <x:c r="Q39" s="33" t="str">
        <x:v>0, 0, 0, 0, 0, 0, 0, 0, 0, 0, 0, 0, 0, 0, 0, 0, 0, 0, 0, 0, 0, 0, 0, 1</x:v>
      </x:c>
      <x:c r="R39" s="33" t="str"/>
    </x:row>
    <x:row r="40">
      <x:c r="A40" s="33" t="n">
        <x:v>36</x:v>
      </x:c>
      <x:c r="B40" s="33" t="str">
        <x:v>assisted living dietary program</x:v>
      </x:c>
      <x:c r="C40" s="34" t="n">
        <x:v>0</x:v>
      </x:c>
      <x:c r="D40" s="34" t="n">
        <x:v>250</x:v>
      </x:c>
      <x:c r="E40" s="34" t="n">
        <x:v>20</x:v>
      </x:c>
      <x:c r="F40" s="34" t="n">
        <x:v>1</x:v>
      </x:c>
      <x:c r="G40" s="34" t="n">
        <x:v>0</x:v>
      </x:c>
      <x:c r="H40" s="34" t="str"/>
      <x:c r="I40" s="34" t="str"/>
      <x:c r="J40" s="34" t="str"/>
      <x:c r="K40" s="33" t="str">
        <x:v>2026-07-10 21:32:59</x:v>
      </x:c>
      <x:c r="L40" s="33" t="str">
        <x:v>People also ask</x:v>
      </x:c>
      <x:c r="M40" s="35" t="n">
        <x:v>250</x:v>
      </x:c>
      <x:c r="N40" s="35" t="n">
        <x:v>0</x:v>
      </x:c>
      <x:c r="O40" s="35" t="n">
        <x:v>20</x:v>
      </x:c>
      <x:c r="P40" s="35" t="str">
        <x:v>2021-01-07</x:v>
      </x:c>
      <x:c r="Q40" s="33" t="str">
        <x:v>13, 9, 9, 19, 13, 11, 6, 9, 14, 16, 10, 4, 1, 1, 1, 0, 1, 0, 1, 1, 1, 0, 1, 1</x:v>
      </x:c>
      <x:c r="R40" s="33" t="str"/>
    </x:row>
    <x:row r="41">
      <x:c r="A41" s="33" t="n">
        <x:v>37</x:v>
      </x:c>
      <x:c r="B41" s="33" t="str">
        <x:v>retirement homes in bangalore</x:v>
      </x:c>
      <x:c r="C41" s="34" t="n">
        <x:v>0</x:v>
      </x:c>
      <x:c r="D41" s="34" t="n">
        <x:v>0</x:v>
      </x:c>
      <x:c r="E41" s="34" t="n">
        <x:v>200</x:v>
      </x:c>
      <x:c r="F41" s="34" t="n">
        <x:v>1</x:v>
      </x:c>
      <x:c r="G41" s="34" t="n">
        <x:v>4</x:v>
      </x:c>
      <x:c r="H41" s="34" t="n">
        <x:v>500</x:v>
      </x:c>
      <x:c r="I41" s="34" t="n">
        <x:v>0.2</x:v>
      </x:c>
      <x:c r="J41" s="34" t="n">
        <x:v>1.32</x:v>
      </x:c>
      <x:c r="K41" s="33" t="str">
        <x:v>2026-08-02 15:06:43</x:v>
      </x:c>
      <x:c r="L41" s="33" t="str">
        <x:v>Local pack,People also ask,Video preview,Image pack,Thumbnail</x:v>
      </x:c>
      <x:c r="M41" s="35" t="n">
        <x:v>600</x:v>
      </x:c>
      <x:c r="N41" s="35" t="n">
        <x:v>2400</x:v>
      </x:c>
      <x:c r="O41" s="35" t="n">
        <x:v>2400</x:v>
      </x:c>
      <x:c r="P41" s="35" t="str">
        <x:v>2015-09-25</x:v>
      </x:c>
      <x:c r="Q41" s="33" t="str">
        <x:v>512, 417, 1552, 508, 527, 717, 704, 886, 709, 1279, 1881, 726, 627, 717, 412, 418, 415, 425, 373, 454, 503, 521, 568, 478</x:v>
      </x:c>
      <x:c r="R41" s="33" t="str">
        <x:v>476, 488, 558, 419, 394, 425, 388, 412, 460, 479, 527, 437</x:v>
      </x:c>
    </x:row>
    <x:row r="42">
      <x:c r="A42" s="33" t="n">
        <x:v>38</x:v>
      </x:c>
      <x:c r="B42" s="33" t="str">
        <x:v>the cove assisted living</x:v>
      </x:c>
      <x:c r="C42" s="34" t="n">
        <x:v>0</x:v>
      </x:c>
      <x:c r="D42" s="34" t="n">
        <x:v>40</x:v>
      </x:c>
      <x:c r="E42" s="34" t="n">
        <x:v>100</x:v>
      </x:c>
      <x:c r="F42" s="34" t="n">
        <x:v>1</x:v>
      </x:c>
      <x:c r="G42" s="34" t="n">
        <x:v>38</x:v>
      </x:c>
      <x:c r="H42" s="34" t="str"/>
      <x:c r="I42" s="34" t="str"/>
      <x:c r="J42" s="34" t="str"/>
      <x:c r="K42" s="33" t="str">
        <x:v>2026-07-30 02:35:25</x:v>
      </x:c>
      <x:c r="L42" s="33" t="str">
        <x:v>People also ask</x:v>
      </x:c>
      <x:c r="M42" s="35" t="n">
        <x:v>40</x:v>
      </x:c>
      <x:c r="N42" s="35" t="n">
        <x:v>0</x:v>
      </x:c>
      <x:c r="O42" s="35" t="n">
        <x:v>100</x:v>
      </x:c>
      <x:c r="P42" s="35" t="str">
        <x:v>2021-01-19</x:v>
      </x:c>
      <x:c r="Q42" s="33" t="str">
        <x:v>0, 0, 0, 0, 0, 0, 0, 1, 0, 0, 0, 1, 1, 0, 1, 0, 0, 0, 0, 0, 0, 0, 0, 1</x:v>
      </x:c>
      <x:c r="R42" s="33" t="str"/>
    </x:row>
    <x:row r="43">
      <x:c r="A43" s="36" t="n">
        <x:v>39</x:v>
      </x:c>
      <x:c r="B43" s="36" t="str">
        <x:v>does medicare cover assisted living</x:v>
      </x:c>
      <x:c r="C43" s="37" t="n">
        <x:v>0</x:v>
      </x:c>
      <x:c r="D43" s="37" t="n">
        <x:v>2100</x:v>
      </x:c>
      <x:c r="E43" s="37" t="n">
        <x:v>9300</x:v>
      </x:c>
      <x:c r="F43" s="37" t="n">
        <x:v>1</x:v>
      </x:c>
      <x:c r="G43" s="37" t="n">
        <x:v>4</x:v>
      </x:c>
      <x:c r="H43" s="37" t="str"/>
      <x:c r="I43" s="37" t="str"/>
      <x:c r="J43" s="37" t="str"/>
      <x:c r="K43" s="36" t="str">
        <x:v>2026-07-06 04:59:08</x:v>
      </x:c>
      <x:c r="L43" s="36" t="str">
        <x:v>People also ask</x:v>
      </x:c>
      <x:c r="M43" s="38" t="n">
        <x:v>2100</x:v>
      </x:c>
      <x:c r="N43" s="38" t="n">
        <x:v>10</x:v>
      </x:c>
      <x:c r="O43" s="38" t="n">
        <x:v>9300</x:v>
      </x:c>
      <x:c r="P43" s="38" t="str">
        <x:v>2020-01-11</x:v>
      </x:c>
      <x:c r="Q43" s="36" t="str">
        <x:v>55, 64, 64, 76, 55, 66, 32, 78, 131, 97, 132, 4, 12, 5, 2, 2, 5, 2, 4, 0, 1, 1, 2, 1</x:v>
      </x:c>
      <x:c r="R43" s="36" t="str"/>
    </x:row>
  </x:sheetData>
  <x:mergeCells>
    <x:mergeCell ref="A1:R1"/>
    <x:mergeCell ref="A2:R2"/>
  </x:mergeCells>
  <x:pageMargins left="0.7" right="0.7" top="0.75" bottom="0.75" header="0.3" footer="0.3"/>
  <x:tableParts count="1">
    <x:tablePart xmlns:r="http://schemas.openxmlformats.org/officeDocument/2006/relationships" r:id="Re5ffaef02971434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21" hidden="0" customWidth="1"/>
    <x:col min="4" max="4" width="21" hidden="0" customWidth="1"/>
    <x:col min="5" max="5" width="13" hidden="0" customWidth="1"/>
    <x:col min="6" max="6" width="13" hidden="0" customWidth="1"/>
    <x:col min="7" max="7" width="13" hidden="0" customWidth="1"/>
    <x:col min="8" max="8" width="10" hidden="0" customWidth="1"/>
    <x:col min="9" max="9" width="24" hidden="0" customWidth="1"/>
    <x:col min="10" max="10" width="33" hidden="0" customWidth="1"/>
    <x:col min="11" max="11" width="18" hidden="0" customWidth="1"/>
    <x:col min="12" max="12" width="18" hidden="0" customWidth="1"/>
    <x:col min="13" max="13" width="48" hidden="0" customWidth="1"/>
  </x:cols>
  <x:sheetData>
    <x:row r="1" ht="30" customHeight="1">
      <x:c r="A1" s="3" t="str">
        <x:v>Keyword intent map</x:v>
      </x:c>
      <x:c r="B1" s="3"/>
      <x:c r="C1" s="3"/>
      <x:c r="D1" s="3"/>
      <x:c r="E1" s="3"/>
      <x:c r="F1" s="3"/>
      <x:c r="G1" s="3"/>
      <x:c r="H1" s="3"/>
      <x:c r="I1" s="3"/>
      <x:c r="J1" s="3"/>
      <x:c r="K1" s="3"/>
      <x:c r="L1" s="3"/>
      <x:c r="M1" s="3"/>
    </x:row>
    <x:row r="2" ht="24" customHeight="1">
      <x:c r="A2" s="5" t="str">
        <x:v>Classified for an India-first assisted-living directory; branded and irrelevant terms are isolated from the publishing plan.</x:v>
      </x:c>
      <x:c r="B2" s="5"/>
      <x:c r="C2" s="5"/>
      <x:c r="D2" s="5"/>
      <x:c r="E2" s="5"/>
      <x:c r="F2" s="5"/>
      <x:c r="G2" s="5"/>
      <x:c r="H2" s="5"/>
      <x:c r="I2" s="5"/>
      <x:c r="J2" s="5"/>
      <x:c r="K2" s="5"/>
      <x:c r="L2" s="5"/>
      <x:c r="M2" s="5"/>
    </x:row>
    <x:row r="4" ht="34" customHeight="1">
      <x:c r="A4" s="14" t="str">
        <x:v>Rank</x:v>
      </x:c>
      <x:c r="B4" s="15" t="str">
        <x:v>Keyword</x:v>
      </x:c>
      <x:c r="C4" s="15" t="str">
        <x:v>Intent</x:v>
      </x:c>
      <x:c r="D4" s="15" t="str">
        <x:v>Journey</x:v>
      </x:c>
      <x:c r="E4" s="15" t="str">
        <x:v>Cluster volume</x:v>
      </x:c>
      <x:c r="F4" s="15" t="str">
        <x:v>Keyword volume</x:v>
      </x:c>
      <x:c r="G4" s="15" t="str">
        <x:v>Difficulty</x:v>
      </x:c>
      <x:c r="H4" s="15" t="str">
        <x:v>Priority</x:v>
      </x:c>
      <x:c r="I4" s="15" t="str">
        <x:v>Recommended action</x:v>
      </x:c>
      <x:c r="J4" s="15" t="str">
        <x:v>Target route</x:v>
      </x:c>
      <x:c r="K4" s="15" t="str">
        <x:v>Keyword role</x:v>
      </x:c>
      <x:c r="L4" s="15" t="str">
        <x:v>Status</x:v>
      </x:c>
      <x:c r="M4" s="16" t="str">
        <x:v>Rationale</x:v>
      </x:c>
    </x:row>
    <x:row r="5" ht="34" customHeight="1">
      <x:c r="A5" s="46" t="n">
        <x:f>'Source Data'!A5</x:f>
        <x:v>1</x:v>
      </x:c>
      <x:c r="B5" s="46" t="str">
        <x:f>'Source Data'!B5</x:f>
        <x:v>assisted living</x:v>
      </x:c>
      <x:c r="C5" s="46" t="str">
        <x:v>Commercial investigation</x:v>
      </x:c>
      <x:c r="D5" s="46" t="str">
        <x:v>Compare options</x:v>
      </x:c>
      <x:c r="E5" s="49" t="n">
        <x:f>'Source Data'!C5</x:f>
        <x:v>3030</x:v>
      </x:c>
      <x:c r="F5" s="49" t="n">
        <x:f>'Source Data'!H5</x:f>
        <x:v>1300</x:v>
      </x:c>
      <x:c r="G5" s="49" t="n">
        <x:f>'Source Data'!G5</x:f>
        <x:v>6</x:v>
      </x:c>
      <x:c r="H5" s="46" t="str">
        <x:v>P0</x:v>
      </x:c>
      <x:c r="I5" s="46" t="str">
        <x:v>Optimize homepage</x:v>
      </x:c>
      <x:c r="J5" s="46" t="str">
        <x:v>/</x:v>
      </x:c>
      <x:c r="K5" s="46" t="str">
        <x:v>Primary</x:v>
      </x:c>
      <x:c r="L5" s="46" t="str">
        <x:v>Optimize now</x:v>
      </x:c>
      <x:c r="M5" s="46" t="str">
        <x:v>Broad commercial intent belongs on the national discovery experience and directory, not a thin article.</x:v>
      </x:c>
    </x:row>
    <x:row r="6" ht="34" customHeight="1">
      <x:c r="A6" s="47" t="n">
        <x:f>'Source Data'!A6</x:f>
        <x:v>2</x:v>
      </x:c>
      <x:c r="B6" s="47" t="str">
        <x:f>'Source Data'!B6</x:f>
        <x:v>senior living near me</x:v>
      </x:c>
      <x:c r="C6" s="47" t="str">
        <x:v>Local transactional</x:v>
      </x:c>
      <x:c r="D6" s="47" t="str">
        <x:v>Shortlist residences</x:v>
      </x:c>
      <x:c r="E6" s="50" t="n">
        <x:f>'Source Data'!C6</x:f>
        <x:v>1380</x:v>
      </x:c>
      <x:c r="F6" s="50" t="n">
        <x:f>'Source Data'!H6</x:f>
        <x:v>700</x:v>
      </x:c>
      <x:c r="G6" s="50" t="n">
        <x:f>'Source Data'!G6</x:f>
        <x:v>6</x:v>
      </x:c>
      <x:c r="H6" s="47" t="str">
        <x:v>P0</x:v>
      </x:c>
      <x:c r="I6" s="47" t="str">
        <x:v>Create / optimize landing page</x:v>
      </x:c>
      <x:c r="J6" s="47" t="str">
        <x:v>/directory</x:v>
      </x:c>
      <x:c r="K6" s="47" t="str">
        <x:v>Primary / secondary</x:v>
      </x:c>
      <x:c r="L6" s="47" t="str">
        <x:v>Optimize now</x:v>
      </x:c>
      <x:c r="M6" s="47" t="str">
        <x:v>Location-led searches show shortlist and enquiry intent; use indexable local pages with comparison links.</x:v>
      </x:c>
    </x:row>
    <x:row r="7" ht="34" customHeight="1">
      <x:c r="A7" s="47" t="n">
        <x:f>'Source Data'!A7</x:f>
        <x:v>3</x:v>
      </x:c>
      <x:c r="B7" s="47" t="str">
        <x:f>'Source Data'!B7</x:f>
        <x:v>assisted living chennai</x:v>
      </x:c>
      <x:c r="C7" s="47" t="str">
        <x:v>Local transactional</x:v>
      </x:c>
      <x:c r="D7" s="47" t="str">
        <x:v>Shortlist residences</x:v>
      </x:c>
      <x:c r="E7" s="50" t="n">
        <x:f>'Source Data'!C7</x:f>
        <x:v>930</x:v>
      </x:c>
      <x:c r="F7" s="50" t="n">
        <x:f>'Source Data'!H7</x:f>
        <x:v>700</x:v>
      </x:c>
      <x:c r="G7" s="50" t="n">
        <x:f>'Source Data'!G7</x:f>
        <x:v>10</x:v>
      </x:c>
      <x:c r="H7" s="47" t="str">
        <x:v>P0</x:v>
      </x:c>
      <x:c r="I7" s="47" t="str">
        <x:v>Create / optimize landing page</x:v>
      </x:c>
      <x:c r="J7" s="47" t="str">
        <x:v>/assisted-living/chennai</x:v>
      </x:c>
      <x:c r="K7" s="47" t="str">
        <x:v>Primary / secondary</x:v>
      </x:c>
      <x:c r="L7" s="47" t="str">
        <x:v>Optimize now</x:v>
      </x:c>
      <x:c r="M7" s="47" t="str">
        <x:v>Location-led searches show shortlist and enquiry intent; use indexable local pages with comparison links.</x:v>
      </x:c>
    </x:row>
    <x:row r="8" ht="34" customHeight="1">
      <x:c r="A8" s="47" t="n">
        <x:f>'Source Data'!A8</x:f>
        <x:v>4</x:v>
      </x:c>
      <x:c r="B8" s="47" t="str">
        <x:f>'Source Data'!B8</x:f>
        <x:v>assisted living facilities</x:v>
      </x:c>
      <x:c r="C8" s="47" t="str">
        <x:v>Commercial investigation</x:v>
      </x:c>
      <x:c r="D8" s="47" t="str">
        <x:v>Compare options</x:v>
      </x:c>
      <x:c r="E8" s="50" t="n">
        <x:f>'Source Data'!C8</x:f>
        <x:v>610</x:v>
      </x:c>
      <x:c r="F8" s="50" t="n">
        <x:f>'Source Data'!H8</x:f>
        <x:v>450</x:v>
      </x:c>
      <x:c r="G8" s="50" t="n">
        <x:f>'Source Data'!G8</x:f>
        <x:v>12</x:v>
      </x:c>
      <x:c r="H8" s="47" t="str">
        <x:v>P0</x:v>
      </x:c>
      <x:c r="I8" s="47" t="str">
        <x:v>Optimize directory / category</x:v>
      </x:c>
      <x:c r="J8" s="47" t="str">
        <x:v>/directory</x:v>
      </x:c>
      <x:c r="K8" s="47" t="str">
        <x:v>Secondary</x:v>
      </x:c>
      <x:c r="L8" s="47" t="str">
        <x:v>Optimize now</x:v>
      </x:c>
      <x:c r="M8" s="47" t="str">
        <x:v>Broad commercial intent belongs on the national discovery experience and directory, not a thin article.</x:v>
      </x:c>
    </x:row>
    <x:row r="9" ht="34" customHeight="1">
      <x:c r="A9" s="47" t="n">
        <x:f>'Source Data'!A9</x:f>
        <x:v>5</x:v>
      </x:c>
      <x:c r="B9" s="47" t="str">
        <x:f>'Source Data'!B9</x:f>
        <x:v>athulya senior care</x:v>
      </x:c>
      <x:c r="C9" s="47" t="str">
        <x:v>Branded / navigational</x:v>
      </x:c>
      <x:c r="D9" s="47" t="str">
        <x:v>Provider research</x:v>
      </x:c>
      <x:c r="E9" s="50" t="n">
        <x:f>'Source Data'!C9</x:f>
        <x:v>350</x:v>
      </x:c>
      <x:c r="F9" s="50" t="n">
        <x:f>'Source Data'!H9</x:f>
        <x:v>2100</x:v>
      </x:c>
      <x:c r="G9" s="50" t="n">
        <x:f>'Source Data'!G9</x:f>
        <x:v>16</x:v>
      </x:c>
      <x:c r="H9" s="47" t="str">
        <x:v>Hold</x:v>
      </x:c>
      <x:c r="I9" s="47" t="str">
        <x:v>Verify before publishing</x:v>
      </x:c>
      <x:c r="J9" s="47" t="str">
        <x:v>No page yet</x:v>
      </x:c>
      <x:c r="K9" s="47" t="str">
        <x:v>Backlog</x:v>
      </x:c>
      <x:c r="L9" s="47" t="str">
        <x:v>Branded hold</x:v>
      </x:c>
      <x:c r="M9" s="47" t="str">
        <x:v>Create a provider profile only after facts, imagery and ownership are verified.</x:v>
      </x:c>
    </x:row>
    <x:row r="10" ht="34" customHeight="1">
      <x:c r="A10" s="47" t="n">
        <x:f>'Source Data'!A10</x:f>
        <x:v>6</x:v>
      </x:c>
      <x:c r="B10" s="47" t="str">
        <x:f>'Source Data'!B10</x:f>
        <x:v>senior living</x:v>
      </x:c>
      <x:c r="C10" s="47" t="str">
        <x:v>Commercial investigation</x:v>
      </x:c>
      <x:c r="D10" s="47" t="str">
        <x:v>Compare options</x:v>
      </x:c>
      <x:c r="E10" s="50" t="n">
        <x:f>'Source Data'!C10</x:f>
        <x:v>210</x:v>
      </x:c>
      <x:c r="F10" s="50" t="n">
        <x:f>'Source Data'!H10</x:f>
        <x:v>1300</x:v>
      </x:c>
      <x:c r="G10" s="50" t="n">
        <x:f>'Source Data'!G10</x:f>
        <x:v>10</x:v>
      </x:c>
      <x:c r="H10" s="47" t="str">
        <x:v>P1</x:v>
      </x:c>
      <x:c r="I10" s="47" t="str">
        <x:v>Optimize directory / category</x:v>
      </x:c>
      <x:c r="J10" s="47" t="str">
        <x:v>/</x:v>
      </x:c>
      <x:c r="K10" s="47" t="str">
        <x:v>Secondary</x:v>
      </x:c>
      <x:c r="L10" s="47" t="str">
        <x:v>Optimize now</x:v>
      </x:c>
      <x:c r="M10" s="47" t="str">
        <x:v>Broad commercial intent belongs on the national discovery experience and directory, not a thin article.</x:v>
      </x:c>
    </x:row>
    <x:row r="11" ht="34" customHeight="1">
      <x:c r="A11" s="47" t="n">
        <x:f>'Source Data'!A11</x:f>
        <x:v>7</x:v>
      </x:c>
      <x:c r="B11" s="47" t="str">
        <x:f>'Source Data'!B11</x:f>
        <x:v>luxury retirement homes in mumbai</x:v>
      </x:c>
      <x:c r="C11" s="47" t="str">
        <x:v>Local transactional</x:v>
      </x:c>
      <x:c r="D11" s="47" t="str">
        <x:v>Shortlist residences</x:v>
      </x:c>
      <x:c r="E11" s="50" t="n">
        <x:f>'Source Data'!C11</x:f>
        <x:v>200</x:v>
      </x:c>
      <x:c r="F11" s="50" t="n">
        <x:f>'Source Data'!H11</x:f>
        <x:v>20</x:v>
      </x:c>
      <x:c r="G11" s="50" t="n">
        <x:f>'Source Data'!G11</x:f>
        <x:v>0</x:v>
      </x:c>
      <x:c r="H11" s="47" t="str">
        <x:v>P1</x:v>
      </x:c>
      <x:c r="I11" s="47" t="str">
        <x:v>Create / optimize landing page</x:v>
      </x:c>
      <x:c r="J11" s="47" t="str">
        <x:v>/assisted-living/mumbai</x:v>
      </x:c>
      <x:c r="K11" s="47" t="str">
        <x:v>Primary / secondary</x:v>
      </x:c>
      <x:c r="L11" s="47" t="str">
        <x:v>Optimize now</x:v>
      </x:c>
      <x:c r="M11" s="47" t="str">
        <x:v>Location-led searches show shortlist and enquiry intent; use indexable local pages with comparison links.</x:v>
      </x:c>
    </x:row>
    <x:row r="12" ht="34" customHeight="1">
      <x:c r="A12" s="47" t="n">
        <x:f>'Source Data'!A12</x:f>
        <x:v>8</x:v>
      </x:c>
      <x:c r="B12" s="47" t="str">
        <x:f>'Source Data'!B12</x:f>
        <x:v>athulya senior care bangalore</x:v>
      </x:c>
      <x:c r="C12" s="47" t="str">
        <x:v>Branded / navigational</x:v>
      </x:c>
      <x:c r="D12" s="47" t="str">
        <x:v>Provider research</x:v>
      </x:c>
      <x:c r="E12" s="50" t="n">
        <x:f>'Source Data'!C12</x:f>
        <x:v>190</x:v>
      </x:c>
      <x:c r="F12" s="50" t="n">
        <x:f>'Source Data'!H12</x:f>
        <x:v>1300</x:v>
      </x:c>
      <x:c r="G12" s="50" t="n">
        <x:f>'Source Data'!G12</x:f>
        <x:v>0</x:v>
      </x:c>
      <x:c r="H12" s="47" t="str">
        <x:v>Hold</x:v>
      </x:c>
      <x:c r="I12" s="47" t="str">
        <x:v>Verify before publishing</x:v>
      </x:c>
      <x:c r="J12" s="47" t="str">
        <x:v>No page yet</x:v>
      </x:c>
      <x:c r="K12" s="47" t="str">
        <x:v>Backlog</x:v>
      </x:c>
      <x:c r="L12" s="47" t="str">
        <x:v>Branded hold</x:v>
      </x:c>
      <x:c r="M12" s="47" t="str">
        <x:v>Create a provider profile only after facts, imagery and ownership are verified.</x:v>
      </x:c>
    </x:row>
    <x:row r="13" ht="34" customHeight="1">
      <x:c r="A13" s="47" t="n">
        <x:f>'Source Data'!A13</x:f>
        <x:v>9</x:v>
      </x:c>
      <x:c r="B13" s="47" t="str">
        <x:f>'Source Data'!B13</x:f>
        <x:v>assisted living cost</x:v>
      </x:c>
      <x:c r="C13" s="47" t="str">
        <x:v>Commercial investigation</x:v>
      </x:c>
      <x:c r="D13" s="47" t="str">
        <x:v>Plan budget</x:v>
      </x:c>
      <x:c r="E13" s="50" t="n">
        <x:f>'Source Data'!C13</x:f>
        <x:v>180</x:v>
      </x:c>
      <x:c r="F13" s="50" t="n">
        <x:f>'Source Data'!H13</x:f>
        <x:v>150</x:v>
      </x:c>
      <x:c r="G13" s="50" t="n">
        <x:f>'Source Data'!G13</x:f>
        <x:v>0</x:v>
      </x:c>
      <x:c r="H13" s="47" t="str">
        <x:v>P1</x:v>
      </x:c>
      <x:c r="I13" s="47" t="str">
        <x:v>Optimize cost guide</x:v>
      </x:c>
      <x:c r="J13" s="47" t="str">
        <x:v>/blog/cost-of-assisted-living-in-india</x:v>
      </x:c>
      <x:c r="K13" s="47" t="str">
        <x:v>Primary / secondary</x:v>
      </x:c>
      <x:c r="L13" s="47" t="str">
        <x:v>Optimize now</x:v>
      </x:c>
      <x:c r="M13" s="47" t="str">
        <x:v>Cost queries need transparent fee components, INR examples and a path to compare current prices.</x:v>
      </x:c>
    </x:row>
    <x:row r="14" ht="34" customHeight="1">
      <x:c r="A14" s="47" t="n">
        <x:f>'Source Data'!A14</x:f>
        <x:v>10</x:v>
      </x:c>
      <x:c r="B14" s="47" t="str">
        <x:f>'Source Data'!B14</x:f>
        <x:v>the golden estate</x:v>
      </x:c>
      <x:c r="C14" s="47" t="str">
        <x:v>Branded / navigational</x:v>
      </x:c>
      <x:c r="D14" s="47" t="str">
        <x:v>Provider research</x:v>
      </x:c>
      <x:c r="E14" s="50" t="n">
        <x:f>'Source Data'!C14</x:f>
        <x:v>160</x:v>
      </x:c>
      <x:c r="F14" s="50" t="n">
        <x:f>'Source Data'!H14</x:f>
        <x:v>400</x:v>
      </x:c>
      <x:c r="G14" s="50" t="n">
        <x:f>'Source Data'!G14</x:f>
        <x:v>0</x:v>
      </x:c>
      <x:c r="H14" s="47" t="str">
        <x:v>Hold</x:v>
      </x:c>
      <x:c r="I14" s="47" t="str">
        <x:v>Verify before publishing</x:v>
      </x:c>
      <x:c r="J14" s="47" t="str">
        <x:v>No page yet</x:v>
      </x:c>
      <x:c r="K14" s="47" t="str">
        <x:v>Backlog</x:v>
      </x:c>
      <x:c r="L14" s="47" t="str">
        <x:v>Branded hold</x:v>
      </x:c>
      <x:c r="M14" s="47" t="str">
        <x:v>Create a provider profile only after facts, imagery and ownership are verified.</x:v>
      </x:c>
    </x:row>
    <x:row r="15" ht="34" customHeight="1">
      <x:c r="A15" s="47" t="n">
        <x:f>'Source Data'!A15</x:f>
        <x:v>11</x:v>
      </x:c>
      <x:c r="B15" s="47" t="str">
        <x:f>'Source Data'!B15</x:f>
        <x:v>aayushka</x:v>
      </x:c>
      <x:c r="C15" s="47" t="str">
        <x:v>Branded / navigational</x:v>
      </x:c>
      <x:c r="D15" s="47" t="str">
        <x:v>Provider research</x:v>
      </x:c>
      <x:c r="E15" s="50" t="n">
        <x:f>'Source Data'!C15</x:f>
        <x:v>150</x:v>
      </x:c>
      <x:c r="F15" s="50" t="n">
        <x:f>'Source Data'!H15</x:f>
        <x:v>70</x:v>
      </x:c>
      <x:c r="G15" s="50" t="n">
        <x:f>'Source Data'!G15</x:f>
        <x:v>0</x:v>
      </x:c>
      <x:c r="H15" s="47" t="str">
        <x:v>Hold</x:v>
      </x:c>
      <x:c r="I15" s="47" t="str">
        <x:v>Verify before publishing</x:v>
      </x:c>
      <x:c r="J15" s="47" t="str">
        <x:v>No page yet</x:v>
      </x:c>
      <x:c r="K15" s="47" t="str">
        <x:v>Backlog</x:v>
      </x:c>
      <x:c r="L15" s="47" t="str">
        <x:v>Branded hold</x:v>
      </x:c>
      <x:c r="M15" s="47" t="str">
        <x:v>Create a provider profile only after facts, imagery and ownership are verified.</x:v>
      </x:c>
    </x:row>
    <x:row r="16" ht="34" customHeight="1">
      <x:c r="A16" s="47" t="n">
        <x:f>'Source Data'!A16</x:f>
        <x:v>12</x:v>
      </x:c>
      <x:c r="B16" s="47" t="str">
        <x:f>'Source Data'!B16</x:f>
        <x:v>assisted living vs nursing home</x:v>
      </x:c>
      <x:c r="C16" s="47" t="str">
        <x:v>Informational</x:v>
      </x:c>
      <x:c r="D16" s="47" t="str">
        <x:v>Understand care</x:v>
      </x:c>
      <x:c r="E16" s="50" t="n">
        <x:f>'Source Data'!C16</x:f>
        <x:v>150</x:v>
      </x:c>
      <x:c r="F16" s="50" t="n">
        <x:f>'Source Data'!H16</x:f>
        <x:v>150</x:v>
      </x:c>
      <x:c r="G16" s="50" t="n">
        <x:f>'Source Data'!G16</x:f>
        <x:v>9</x:v>
      </x:c>
      <x:c r="H16" s="47" t="str">
        <x:v>P1</x:v>
      </x:c>
      <x:c r="I16" s="47" t="str">
        <x:v>Create guide</x:v>
      </x:c>
      <x:c r="J16" s="47" t="str">
        <x:v>/blog/assisted-living-vs-nursing-home</x:v>
      </x:c>
      <x:c r="K16" s="47" t="str">
        <x:v>Primary</x:v>
      </x:c>
      <x:c r="L16" s="47" t="str">
        <x:v>Create now</x:v>
      </x:c>
      <x:c r="M16" s="47" t="str">
        <x:v>Educational content should answer the question directly and guide readers toward relevant comparison pages.</x:v>
      </x:c>
    </x:row>
    <x:row r="17" ht="34" customHeight="1">
      <x:c r="A17" s="47" t="n">
        <x:f>'Source Data'!A17</x:f>
        <x:v>13</x:v>
      </x:c>
      <x:c r="B17" s="47" t="str">
        <x:f>'Source Data'!B17</x:f>
        <x:v>priaashraya assisted living homes</x:v>
      </x:c>
      <x:c r="C17" s="47" t="str">
        <x:v>Branded / navigational</x:v>
      </x:c>
      <x:c r="D17" s="47" t="str">
        <x:v>Provider research</x:v>
      </x:c>
      <x:c r="E17" s="50" t="n">
        <x:f>'Source Data'!C17</x:f>
        <x:v>100</x:v>
      </x:c>
      <x:c r="F17" s="50" t="n">
        <x:f>'Source Data'!H17</x:f>
        <x:v>100</x:v>
      </x:c>
      <x:c r="G17" s="50" t="n">
        <x:f>'Source Data'!G17</x:f>
        <x:v>0</x:v>
      </x:c>
      <x:c r="H17" s="47" t="str">
        <x:v>Hold</x:v>
      </x:c>
      <x:c r="I17" s="47" t="str">
        <x:v>Verify before publishing</x:v>
      </x:c>
      <x:c r="J17" s="47" t="str">
        <x:v>No page yet</x:v>
      </x:c>
      <x:c r="K17" s="47" t="str">
        <x:v>Backlog</x:v>
      </x:c>
      <x:c r="L17" s="47" t="str">
        <x:v>Branded hold</x:v>
      </x:c>
      <x:c r="M17" s="47" t="str">
        <x:v>Create a provider profile only after facts, imagery and ownership are verified.</x:v>
      </x:c>
    </x:row>
    <x:row r="18" ht="34" customHeight="1">
      <x:c r="A18" s="47" t="n">
        <x:f>'Source Data'!A18</x:f>
        <x:v>14</x:v>
      </x:c>
      <x:c r="B18" s="47" t="str">
        <x:f>'Source Data'!B18</x:f>
        <x:v>athulya senior care coimbatore</x:v>
      </x:c>
      <x:c r="C18" s="47" t="str">
        <x:v>Branded / navigational</x:v>
      </x:c>
      <x:c r="D18" s="47" t="str">
        <x:v>Provider research</x:v>
      </x:c>
      <x:c r="E18" s="50" t="n">
        <x:f>'Source Data'!C18</x:f>
        <x:v>100</x:v>
      </x:c>
      <x:c r="F18" s="50" t="n">
        <x:f>'Source Data'!H18</x:f>
        <x:v>500</x:v>
      </x:c>
      <x:c r="G18" s="50" t="n">
        <x:f>'Source Data'!G18</x:f>
        <x:v>0</x:v>
      </x:c>
      <x:c r="H18" s="47" t="str">
        <x:v>Hold</x:v>
      </x:c>
      <x:c r="I18" s="47" t="str">
        <x:v>Verify before publishing</x:v>
      </x:c>
      <x:c r="J18" s="47" t="str">
        <x:v>No page yet</x:v>
      </x:c>
      <x:c r="K18" s="47" t="str">
        <x:v>Backlog</x:v>
      </x:c>
      <x:c r="L18" s="47" t="str">
        <x:v>Branded hold</x:v>
      </x:c>
      <x:c r="M18" s="47" t="str">
        <x:v>Create a provider profile only after facts, imagery and ownership are verified.</x:v>
      </x:c>
    </x:row>
    <x:row r="19" ht="34" customHeight="1">
      <x:c r="A19" s="47" t="n">
        <x:f>'Source Data'!A19</x:f>
        <x:v>15</x:v>
      </x:c>
      <x:c r="B19" s="47" t="str">
        <x:f>'Source Data'!B19</x:f>
        <x:v>senior housing</x:v>
      </x:c>
      <x:c r="C19" s="47" t="str">
        <x:v>Commercial investigation</x:v>
      </x:c>
      <x:c r="D19" s="47" t="str">
        <x:v>Compare options</x:v>
      </x:c>
      <x:c r="E19" s="50" t="n">
        <x:f>'Source Data'!C19</x:f>
        <x:v>90</x:v>
      </x:c>
      <x:c r="F19" s="50" t="n">
        <x:f>'Source Data'!H19</x:f>
        <x:v>300</x:v>
      </x:c>
      <x:c r="G19" s="50" t="n">
        <x:f>'Source Data'!G19</x:f>
        <x:v>8</x:v>
      </x:c>
      <x:c r="H19" s="47" t="str">
        <x:v>P1</x:v>
      </x:c>
      <x:c r="I19" s="47" t="str">
        <x:v>Optimize directory / category</x:v>
      </x:c>
      <x:c r="J19" s="47" t="str">
        <x:v>/directory</x:v>
      </x:c>
      <x:c r="K19" s="47" t="str">
        <x:v>Secondary</x:v>
      </x:c>
      <x:c r="L19" s="47" t="str">
        <x:v>Optimize now</x:v>
      </x:c>
      <x:c r="M19" s="47" t="str">
        <x:v>Broad commercial intent belongs on the national discovery experience and directory, not a thin article.</x:v>
      </x:c>
    </x:row>
    <x:row r="20" ht="34" customHeight="1">
      <x:c r="A20" s="47" t="n">
        <x:f>'Source Data'!A20</x:f>
        <x:v>16</x:v>
      </x:c>
      <x:c r="B20" s="47" t="str">
        <x:f>'Source Data'!B20</x:f>
        <x:v>assisted living pune</x:v>
      </x:c>
      <x:c r="C20" s="47" t="str">
        <x:v>Local transactional</x:v>
      </x:c>
      <x:c r="D20" s="47" t="str">
        <x:v>Shortlist residences</x:v>
      </x:c>
      <x:c r="E20" s="50" t="n">
        <x:f>'Source Data'!C20</x:f>
        <x:v>90</x:v>
      </x:c>
      <x:c r="F20" s="50" t="n">
        <x:f>'Source Data'!H20</x:f>
        <x:v>200</x:v>
      </x:c>
      <x:c r="G20" s="50" t="n">
        <x:f>'Source Data'!G20</x:f>
        <x:v>15</x:v>
      </x:c>
      <x:c r="H20" s="47" t="str">
        <x:v>P1</x:v>
      </x:c>
      <x:c r="I20" s="47" t="str">
        <x:v>Create / optimize landing page</x:v>
      </x:c>
      <x:c r="J20" s="47" t="str">
        <x:v>/assisted-living/pune</x:v>
      </x:c>
      <x:c r="K20" s="47" t="str">
        <x:v>Primary / secondary</x:v>
      </x:c>
      <x:c r="L20" s="47" t="str">
        <x:v>Optimize now</x:v>
      </x:c>
      <x:c r="M20" s="47" t="str">
        <x:v>Location-led searches show shortlist and enquiry intent; use indexable local pages with comparison links.</x:v>
      </x:c>
    </x:row>
    <x:row r="21" ht="34" customHeight="1">
      <x:c r="A21" s="47" t="n">
        <x:f>'Source Data'!A21</x:f>
        <x:v>17</x:v>
      </x:c>
      <x:c r="B21" s="47" t="str">
        <x:f>'Source Data'!B21</x:f>
        <x:v>assisted living near me</x:v>
      </x:c>
      <x:c r="C21" s="47" t="str">
        <x:v>Local transactional</x:v>
      </x:c>
      <x:c r="D21" s="47" t="str">
        <x:v>Shortlist residences</x:v>
      </x:c>
      <x:c r="E21" s="50" t="n">
        <x:f>'Source Data'!C21</x:f>
        <x:v>90</x:v>
      </x:c>
      <x:c r="F21" s="50" t="n">
        <x:f>'Source Data'!H21</x:f>
        <x:v>1000</x:v>
      </x:c>
      <x:c r="G21" s="50" t="n">
        <x:f>'Source Data'!G21</x:f>
        <x:v>33</x:v>
      </x:c>
      <x:c r="H21" s="47" t="str">
        <x:v>P0</x:v>
      </x:c>
      <x:c r="I21" s="47" t="str">
        <x:v>Create / optimize landing page</x:v>
      </x:c>
      <x:c r="J21" s="47" t="str">
        <x:v>/directory</x:v>
      </x:c>
      <x:c r="K21" s="47" t="str">
        <x:v>Primary / secondary</x:v>
      </x:c>
      <x:c r="L21" s="47" t="str">
        <x:v>Optimize now</x:v>
      </x:c>
      <x:c r="M21" s="47" t="str">
        <x:v>Location-led searches show shortlist and enquiry intent; use indexable local pages with comparison links.</x:v>
      </x:c>
    </x:row>
    <x:row r="22" ht="34" customHeight="1">
      <x:c r="A22" s="47" t="n">
        <x:f>'Source Data'!A22</x:f>
        <x:v>18</x:v>
      </x:c>
      <x:c r="B22" s="47" t="str">
        <x:f>'Source Data'!B22</x:f>
        <x:v>old age home monthly cost in chennai</x:v>
      </x:c>
      <x:c r="C22" s="47" t="str">
        <x:v>Local transactional</x:v>
      </x:c>
      <x:c r="D22" s="47" t="str">
        <x:v>Shortlist residences</x:v>
      </x:c>
      <x:c r="E22" s="50" t="n">
        <x:f>'Source Data'!C22</x:f>
        <x:v>70</x:v>
      </x:c>
      <x:c r="F22" s="50" t="n">
        <x:f>'Source Data'!H22</x:f>
        <x:v>250</x:v>
      </x:c>
      <x:c r="G22" s="50" t="n">
        <x:f>'Source Data'!G22</x:f>
        <x:v>0</x:v>
      </x:c>
      <x:c r="H22" s="47" t="str">
        <x:v>P0</x:v>
      </x:c>
      <x:c r="I22" s="47" t="str">
        <x:v>Create / optimize landing page</x:v>
      </x:c>
      <x:c r="J22" s="47" t="str">
        <x:v>/assisted-living/chennai</x:v>
      </x:c>
      <x:c r="K22" s="47" t="str">
        <x:v>Primary / secondary</x:v>
      </x:c>
      <x:c r="L22" s="47" t="str">
        <x:v>Optimize now</x:v>
      </x:c>
      <x:c r="M22" s="47" t="str">
        <x:v>Location-led searches show shortlist and enquiry intent; use indexable local pages with comparison links.</x:v>
      </x:c>
    </x:row>
    <x:row r="23" ht="34" customHeight="1">
      <x:c r="A23" s="47" t="n">
        <x:f>'Source Data'!A23</x:f>
        <x:v>19</x:v>
      </x:c>
      <x:c r="B23" s="47" t="str">
        <x:f>'Source Data'!B23</x:f>
        <x:v>athulya</x:v>
      </x:c>
      <x:c r="C23" s="47" t="str">
        <x:v>Branded / navigational</x:v>
      </x:c>
      <x:c r="D23" s="47" t="str">
        <x:v>Provider research</x:v>
      </x:c>
      <x:c r="E23" s="50" t="n">
        <x:f>'Source Data'!C23</x:f>
        <x:v>70</x:v>
      </x:c>
      <x:c r="F23" s="50" t="n">
        <x:f>'Source Data'!H23</x:f>
        <x:v>3200</x:v>
      </x:c>
      <x:c r="G23" s="50" t="n">
        <x:f>'Source Data'!G23</x:f>
        <x:v>9</x:v>
      </x:c>
      <x:c r="H23" s="47" t="str">
        <x:v>Hold</x:v>
      </x:c>
      <x:c r="I23" s="47" t="str">
        <x:v>Verify before publishing</x:v>
      </x:c>
      <x:c r="J23" s="47" t="str">
        <x:v>No page yet</x:v>
      </x:c>
      <x:c r="K23" s="47" t="str">
        <x:v>Backlog</x:v>
      </x:c>
      <x:c r="L23" s="47" t="str">
        <x:v>Branded hold</x:v>
      </x:c>
      <x:c r="M23" s="47" t="str">
        <x:v>Create a provider profile only after facts, imagery and ownership are verified.</x:v>
      </x:c>
    </x:row>
    <x:row r="24" ht="34" customHeight="1">
      <x:c r="A24" s="47" t="n">
        <x:f>'Source Data'!A24</x:f>
        <x:v>20</x:v>
      </x:c>
      <x:c r="B24" s="47" t="str">
        <x:f>'Source Data'!B24</x:f>
        <x:v>memory care</x:v>
      </x:c>
      <x:c r="C24" s="47" t="str">
        <x:v>Commercial investigation</x:v>
      </x:c>
      <x:c r="D24" s="47" t="str">
        <x:v>Compare specialist care</x:v>
      </x:c>
      <x:c r="E24" s="50" t="n">
        <x:f>'Source Data'!C24</x:f>
        <x:v>70</x:v>
      </x:c>
      <x:c r="F24" s="50" t="n">
        <x:f>'Source Data'!H24</x:f>
        <x:v>900</x:v>
      </x:c>
      <x:c r="G24" s="50" t="n">
        <x:f>'Source Data'!G24</x:f>
        <x:v>20</x:v>
      </x:c>
      <x:c r="H24" s="47" t="str">
        <x:v>P1</x:v>
      </x:c>
      <x:c r="I24" s="47" t="str">
        <x:v>Optimize care landing page</x:v>
      </x:c>
      <x:c r="J24" s="47" t="str">
        <x:v>/care/dementia-care</x:v>
      </x:c>
      <x:c r="K24" s="47" t="str">
        <x:v>Primary / secondary</x:v>
      </x:c>
      <x:c r="L24" s="47" t="str">
        <x:v>Optimize now</x:v>
      </x:c>
      <x:c r="M24" s="47" t="str">
        <x:v>Use Indian dementia-care terminology while naturally covering the globally searched memory-care phrase.</x:v>
      </x:c>
    </x:row>
    <x:row r="25" ht="34" customHeight="1">
      <x:c r="A25" s="47" t="n">
        <x:f>'Source Data'!A25</x:f>
        <x:v>21</x:v>
      </x:c>
      <x:c r="B25" s="47" t="str">
        <x:f>'Source Data'!B25</x:f>
        <x:v>assisted living mumbai</x:v>
      </x:c>
      <x:c r="C25" s="47" t="str">
        <x:v>Local transactional</x:v>
      </x:c>
      <x:c r="D25" s="47" t="str">
        <x:v>Shortlist residences</x:v>
      </x:c>
      <x:c r="E25" s="50" t="n">
        <x:f>'Source Data'!C25</x:f>
        <x:v>70</x:v>
      </x:c>
      <x:c r="F25" s="50" t="n">
        <x:f>'Source Data'!H25</x:f>
        <x:v>200</x:v>
      </x:c>
      <x:c r="G25" s="50" t="n">
        <x:f>'Source Data'!G25</x:f>
        <x:v>17</x:v>
      </x:c>
      <x:c r="H25" s="47" t="str">
        <x:v>P1</x:v>
      </x:c>
      <x:c r="I25" s="47" t="str">
        <x:v>Create / optimize landing page</x:v>
      </x:c>
      <x:c r="J25" s="47" t="str">
        <x:v>/assisted-living/mumbai</x:v>
      </x:c>
      <x:c r="K25" s="47" t="str">
        <x:v>Primary / secondary</x:v>
      </x:c>
      <x:c r="L25" s="47" t="str">
        <x:v>Optimize now</x:v>
      </x:c>
      <x:c r="M25" s="47" t="str">
        <x:v>Location-led searches show shortlist and enquiry intent; use indexable local pages with comparison links.</x:v>
      </x:c>
    </x:row>
    <x:row r="26" ht="34" customHeight="1">
      <x:c r="A26" s="47" t="n">
        <x:f>'Source Data'!A26</x:f>
        <x:v>22</x:v>
      </x:c>
      <x:c r="B26" s="47" t="str">
        <x:f>'Source Data'!B26</x:f>
        <x:v>athulya senior care kochi</x:v>
      </x:c>
      <x:c r="C26" s="47" t="str">
        <x:v>Branded / navigational</x:v>
      </x:c>
      <x:c r="D26" s="47" t="str">
        <x:v>Provider research</x:v>
      </x:c>
      <x:c r="E26" s="50" t="n">
        <x:f>'Source Data'!C26</x:f>
        <x:v>70</x:v>
      </x:c>
      <x:c r="F26" s="50" t="n">
        <x:f>'Source Data'!H26</x:f>
        <x:v>500</x:v>
      </x:c>
      <x:c r="G26" s="50" t="n">
        <x:f>'Source Data'!G26</x:f>
        <x:v>0</x:v>
      </x:c>
      <x:c r="H26" s="47" t="str">
        <x:v>Hold</x:v>
      </x:c>
      <x:c r="I26" s="47" t="str">
        <x:v>Verify before publishing</x:v>
      </x:c>
      <x:c r="J26" s="47" t="str">
        <x:v>No page yet</x:v>
      </x:c>
      <x:c r="K26" s="47" t="str">
        <x:v>Backlog</x:v>
      </x:c>
      <x:c r="L26" s="47" t="str">
        <x:v>Branded hold</x:v>
      </x:c>
      <x:c r="M26" s="47" t="str">
        <x:v>Create a provider profile only after facts, imagery and ownership are verified.</x:v>
      </x:c>
    </x:row>
    <x:row r="27" ht="34" customHeight="1">
      <x:c r="A27" s="47" t="n">
        <x:f>'Source Data'!A27</x:f>
        <x:v>23</x:v>
      </x:c>
      <x:c r="B27" s="47" t="str">
        <x:f>'Source Data'!B27</x:f>
        <x:v>athulya assisted living cost</x:v>
      </x:c>
      <x:c r="C27" s="47" t="str">
        <x:v>Branded / navigational</x:v>
      </x:c>
      <x:c r="D27" s="47" t="str">
        <x:v>Provider research</x:v>
      </x:c>
      <x:c r="E27" s="50" t="n">
        <x:f>'Source Data'!C27</x:f>
        <x:v>70</x:v>
      </x:c>
      <x:c r="F27" s="50" t="n">
        <x:f>'Source Data'!H27</x:f>
        <x:v>70</x:v>
      </x:c>
      <x:c r="G27" s="50" t="n">
        <x:f>'Source Data'!G27</x:f>
        <x:v>0</x:v>
      </x:c>
      <x:c r="H27" s="47" t="str">
        <x:v>Hold</x:v>
      </x:c>
      <x:c r="I27" s="47" t="str">
        <x:v>Verify before publishing</x:v>
      </x:c>
      <x:c r="J27" s="47" t="str">
        <x:v>No page yet</x:v>
      </x:c>
      <x:c r="K27" s="47" t="str">
        <x:v>Backlog</x:v>
      </x:c>
      <x:c r="L27" s="47" t="str">
        <x:v>Branded hold</x:v>
      </x:c>
      <x:c r="M27" s="47" t="str">
        <x:v>Create a provider profile only after facts, imagery and ownership are verified.</x:v>
      </x:c>
    </x:row>
    <x:row r="28" ht="34" customHeight="1">
      <x:c r="A28" s="47" t="n">
        <x:f>'Source Data'!A28</x:f>
        <x:v>24</x:v>
      </x:c>
      <x:c r="B28" s="47" t="str">
        <x:f>'Source Data'!B28</x:f>
        <x:v>what is assisted living</x:v>
      </x:c>
      <x:c r="C28" s="47" t="str">
        <x:v>Informational</x:v>
      </x:c>
      <x:c r="D28" s="47" t="str">
        <x:v>Understand care</x:v>
      </x:c>
      <x:c r="E28" s="50" t="n">
        <x:f>'Source Data'!C28</x:f>
        <x:v>60</x:v>
      </x:c>
      <x:c r="F28" s="50" t="n">
        <x:f>'Source Data'!H28</x:f>
        <x:v>50</x:v>
      </x:c>
      <x:c r="G28" s="50" t="n">
        <x:f>'Source Data'!G28</x:f>
        <x:v>45</x:v>
      </x:c>
      <x:c r="H28" s="47" t="str">
        <x:v>P1</x:v>
      </x:c>
      <x:c r="I28" s="47" t="str">
        <x:v>Create guide</x:v>
      </x:c>
      <x:c r="J28" s="47" t="str">
        <x:v>/blog/what-is-assisted-living</x:v>
      </x:c>
      <x:c r="K28" s="47" t="str">
        <x:v>Primary</x:v>
      </x:c>
      <x:c r="L28" s="47" t="str">
        <x:v>Create now</x:v>
      </x:c>
      <x:c r="M28" s="47" t="str">
        <x:v>Educational content should answer the question directly and guide readers toward relevant comparison pages.</x:v>
      </x:c>
    </x:row>
    <x:row r="29" ht="34" customHeight="1">
      <x:c r="A29" s="47" t="n">
        <x:f>'Source Data'!A29</x:f>
        <x:v>25</x:v>
      </x:c>
      <x:c r="B29" s="47" t="str">
        <x:f>'Source Data'!B29</x:f>
        <x:v>retirement homes in delhi</x:v>
      </x:c>
      <x:c r="C29" s="47" t="str">
        <x:v>Local transactional</x:v>
      </x:c>
      <x:c r="D29" s="47" t="str">
        <x:v>Shortlist residences</x:v>
      </x:c>
      <x:c r="E29" s="50" t="n">
        <x:f>'Source Data'!C29</x:f>
        <x:v>50</x:v>
      </x:c>
      <x:c r="F29" s="50" t="n">
        <x:f>'Source Data'!H29</x:f>
        <x:v>80</x:v>
      </x:c>
      <x:c r="G29" s="50" t="n">
        <x:f>'Source Data'!G29</x:f>
        <x:v>30</x:v>
      </x:c>
      <x:c r="H29" s="47" t="str">
        <x:v>P1</x:v>
      </x:c>
      <x:c r="I29" s="47" t="str">
        <x:v>Create / optimize landing page</x:v>
      </x:c>
      <x:c r="J29" s="47" t="str">
        <x:v>/assisted-living/delhi-ncr</x:v>
      </x:c>
      <x:c r="K29" s="47" t="str">
        <x:v>Primary / secondary</x:v>
      </x:c>
      <x:c r="L29" s="47" t="str">
        <x:v>Optimize now</x:v>
      </x:c>
      <x:c r="M29" s="47" t="str">
        <x:v>Location-led searches show shortlist and enquiry intent; use indexable local pages with comparison links.</x:v>
      </x:c>
    </x:row>
    <x:row r="30" ht="34" customHeight="1">
      <x:c r="A30" s="47" t="n">
        <x:f>'Source Data'!A30</x:f>
        <x:v>26</x:v>
      </x:c>
      <x:c r="B30" s="47" t="str">
        <x:f>'Source Data'!B30</x:f>
        <x:v>artha assisted living</x:v>
      </x:c>
      <x:c r="C30" s="47" t="str">
        <x:v>Branded / navigational</x:v>
      </x:c>
      <x:c r="D30" s="47" t="str">
        <x:v>Provider research</x:v>
      </x:c>
      <x:c r="E30" s="50" t="n">
        <x:f>'Source Data'!C30</x:f>
        <x:v>30</x:v>
      </x:c>
      <x:c r="F30" s="50" t="n">
        <x:f>'Source Data'!H30</x:f>
        <x:v>30</x:v>
      </x:c>
      <x:c r="G30" s="50" t="n">
        <x:f>'Source Data'!G30</x:f>
        <x:v>0</x:v>
      </x:c>
      <x:c r="H30" s="47" t="str">
        <x:v>Hold</x:v>
      </x:c>
      <x:c r="I30" s="47" t="str">
        <x:v>Verify before publishing</x:v>
      </x:c>
      <x:c r="J30" s="47" t="str">
        <x:v>No page yet</x:v>
      </x:c>
      <x:c r="K30" s="47" t="str">
        <x:v>Backlog</x:v>
      </x:c>
      <x:c r="L30" s="47" t="str">
        <x:v>Branded hold</x:v>
      </x:c>
      <x:c r="M30" s="47" t="str">
        <x:v>Create a provider profile only after facts, imagery and ownership are verified.</x:v>
      </x:c>
    </x:row>
    <x:row r="31" ht="34" customHeight="1">
      <x:c r="A31" s="47" t="n">
        <x:f>'Source Data'!A31</x:f>
        <x:v>27</x:v>
      </x:c>
      <x:c r="B31" s="47" t="str">
        <x:f>'Source Data'!B31</x:f>
        <x:v>senior living bangalore</x:v>
      </x:c>
      <x:c r="C31" s="47" t="str">
        <x:v>Local transactional</x:v>
      </x:c>
      <x:c r="D31" s="47" t="str">
        <x:v>Shortlist residences</x:v>
      </x:c>
      <x:c r="E31" s="50" t="n">
        <x:f>'Source Data'!C31</x:f>
        <x:v>30</x:v>
      </x:c>
      <x:c r="F31" s="50" t="n">
        <x:f>'Source Data'!H31</x:f>
        <x:v>500</x:v>
      </x:c>
      <x:c r="G31" s="50" t="n">
        <x:f>'Source Data'!G31</x:f>
        <x:v>3</x:v>
      </x:c>
      <x:c r="H31" s="47" t="str">
        <x:v>P1</x:v>
      </x:c>
      <x:c r="I31" s="47" t="str">
        <x:v>Create / optimize landing page</x:v>
      </x:c>
      <x:c r="J31" s="47" t="str">
        <x:v>/assisted-living/bengaluru</x:v>
      </x:c>
      <x:c r="K31" s="47" t="str">
        <x:v>Primary / secondary</x:v>
      </x:c>
      <x:c r="L31" s="47" t="str">
        <x:v>Optimize now</x:v>
      </x:c>
      <x:c r="M31" s="47" t="str">
        <x:v>Location-led searches show shortlist and enquiry intent; use indexable local pages with comparison links.</x:v>
      </x:c>
    </x:row>
    <x:row r="32" ht="34" customHeight="1">
      <x:c r="A32" s="47" t="n">
        <x:f>'Source Data'!A32</x:f>
        <x:v>28</x:v>
      </x:c>
      <x:c r="B32" s="47" t="str">
        <x:f>'Source Data'!B32</x:f>
        <x:v>assisted living costs</x:v>
      </x:c>
      <x:c r="C32" s="47" t="str">
        <x:v>Commercial investigation</x:v>
      </x:c>
      <x:c r="D32" s="47" t="str">
        <x:v>Plan budget</x:v>
      </x:c>
      <x:c r="E32" s="50" t="n">
        <x:f>'Source Data'!C32</x:f>
        <x:v>20</x:v>
      </x:c>
      <x:c r="F32" s="50" t="n">
        <x:f>'Source Data'!H32</x:f>
        <x:v>30</x:v>
      </x:c>
      <x:c r="G32" s="50" t="n">
        <x:f>'Source Data'!G32</x:f>
        <x:v>13</x:v>
      </x:c>
      <x:c r="H32" s="47" t="str">
        <x:v>P1</x:v>
      </x:c>
      <x:c r="I32" s="47" t="str">
        <x:v>Optimize cost guide</x:v>
      </x:c>
      <x:c r="J32" s="47" t="str">
        <x:v>/blog/cost-of-assisted-living-in-india</x:v>
      </x:c>
      <x:c r="K32" s="47" t="str">
        <x:v>Primary / secondary</x:v>
      </x:c>
      <x:c r="L32" s="47" t="str">
        <x:v>Optimize now</x:v>
      </x:c>
      <x:c r="M32" s="47" t="str">
        <x:v>Cost queries need transparent fee components, INR examples and a path to compare current prices.</x:v>
      </x:c>
    </x:row>
    <x:row r="33" ht="34" customHeight="1">
      <x:c r="A33" s="47" t="n">
        <x:f>'Source Data'!A33</x:f>
        <x:v>29</x:v>
      </x:c>
      <x:c r="B33" s="47" t="str">
        <x:f>'Source Data'!B33</x:f>
        <x:v>ambient assisted living</x:v>
      </x:c>
      <x:c r="C33" s="47" t="str">
        <x:v>Excluded / irrelevant</x:v>
      </x:c>
      <x:c r="D33" s="47" t="str">
        <x:v>Out of market</x:v>
      </x:c>
      <x:c r="E33" s="50" t="n">
        <x:f>'Source Data'!C33</x:f>
        <x:v>20</x:v>
      </x:c>
      <x:c r="F33" s="50" t="n">
        <x:f>'Source Data'!H33</x:f>
        <x:v>20</x:v>
      </x:c>
      <x:c r="G33" s="50" t="n">
        <x:f>'Source Data'!G33</x:f>
        <x:v>0</x:v>
      </x:c>
      <x:c r="H33" s="47" t="str">
        <x:v>Exclude</x:v>
      </x:c>
      <x:c r="I33" s="47" t="str">
        <x:v>Do not target</x:v>
      </x:c>
      <x:c r="J33" s="47" t="str">
        <x:v>Excluded</x:v>
      </x:c>
      <x:c r="K33" s="47" t="str">
        <x:v>Excluded</x:v>
      </x:c>
      <x:c r="L33" s="47" t="str">
        <x:v>Excluded</x:v>
      </x:c>
      <x:c r="M33" s="47" t="str">
        <x:v>US-specific, unrelated or technology-led intent does not match the India directory.</x:v>
      </x:c>
    </x:row>
    <x:row r="34" ht="34" customHeight="1">
      <x:c r="A34" s="47" t="n">
        <x:f>'Source Data'!A34</x:f>
        <x:v>30</x:v>
      </x:c>
      <x:c r="B34" s="47" t="str">
        <x:f>'Source Data'!B34</x:f>
        <x:v>memory care assisted living</x:v>
      </x:c>
      <x:c r="C34" s="47" t="str">
        <x:v>Commercial investigation</x:v>
      </x:c>
      <x:c r="D34" s="47" t="str">
        <x:v>Compare specialist care</x:v>
      </x:c>
      <x:c r="E34" s="50" t="n">
        <x:f>'Source Data'!C34</x:f>
        <x:v>10</x:v>
      </x:c>
      <x:c r="F34" s="50" t="n">
        <x:f>'Source Data'!H34</x:f>
        <x:v>30</x:v>
      </x:c>
      <x:c r="G34" s="50" t="n">
        <x:f>'Source Data'!G34</x:f>
        <x:v>25</x:v>
      </x:c>
      <x:c r="H34" s="47" t="str">
        <x:v>P1</x:v>
      </x:c>
      <x:c r="I34" s="47" t="str">
        <x:v>Optimize care landing page</x:v>
      </x:c>
      <x:c r="J34" s="47" t="str">
        <x:v>/care/dementia-care</x:v>
      </x:c>
      <x:c r="K34" s="47" t="str">
        <x:v>Primary / secondary</x:v>
      </x:c>
      <x:c r="L34" s="47" t="str">
        <x:v>Optimize now</x:v>
      </x:c>
      <x:c r="M34" s="47" t="str">
        <x:v>Use Indian dementia-care terminology while naturally covering the globally searched memory-care phrase.</x:v>
      </x:c>
    </x:row>
    <x:row r="35" ht="34" customHeight="1">
      <x:c r="A35" s="47" t="n">
        <x:f>'Source Data'!A35</x:f>
        <x:v>31</x:v>
      </x:c>
      <x:c r="B35" s="47" t="str">
        <x:f>'Source Data'!B35</x:f>
        <x:v>memory care facility</x:v>
      </x:c>
      <x:c r="C35" s="47" t="str">
        <x:v>Commercial investigation</x:v>
      </x:c>
      <x:c r="D35" s="47" t="str">
        <x:v>Compare specialist care</x:v>
      </x:c>
      <x:c r="E35" s="50" t="n">
        <x:f>'Source Data'!C35</x:f>
        <x:v>10</x:v>
      </x:c>
      <x:c r="F35" s="50" t="n">
        <x:f>'Source Data'!H35</x:f>
        <x:v>30</x:v>
      </x:c>
      <x:c r="G35" s="50" t="n">
        <x:f>'Source Data'!G35</x:f>
        <x:v>20</x:v>
      </x:c>
      <x:c r="H35" s="47" t="str">
        <x:v>P1</x:v>
      </x:c>
      <x:c r="I35" s="47" t="str">
        <x:v>Optimize care landing page</x:v>
      </x:c>
      <x:c r="J35" s="47" t="str">
        <x:v>/care/dementia-care</x:v>
      </x:c>
      <x:c r="K35" s="47" t="str">
        <x:v>Primary / secondary</x:v>
      </x:c>
      <x:c r="L35" s="47" t="str">
        <x:v>Optimize now</x:v>
      </x:c>
      <x:c r="M35" s="47" t="str">
        <x:v>Use Indian dementia-care terminology while naturally covering the globally searched memory-care phrase.</x:v>
      </x:c>
    </x:row>
    <x:row r="36" ht="34" customHeight="1">
      <x:c r="A36" s="47" t="n">
        <x:f>'Source Data'!A36</x:f>
        <x:v>32</x:v>
      </x:c>
      <x:c r="B36" s="47" t="str">
        <x:f>'Source Data'!B36</x:f>
        <x:v>assisted living san diego</x:v>
      </x:c>
      <x:c r="C36" s="47" t="str">
        <x:v>Excluded / irrelevant</x:v>
      </x:c>
      <x:c r="D36" s="47" t="str">
        <x:v>Out of market</x:v>
      </x:c>
      <x:c r="E36" s="50" t="n">
        <x:f>'Source Data'!C36</x:f>
        <x:v>10</x:v>
      </x:c>
      <x:c r="F36" s="50" t="n">
        <x:f>'Source Data'!H36</x:f>
        <x:v>10</x:v>
      </x:c>
      <x:c r="G36" s="50" t="n">
        <x:f>'Source Data'!G36</x:f>
        <x:v>46</x:v>
      </x:c>
      <x:c r="H36" s="47" t="str">
        <x:v>Exclude</x:v>
      </x:c>
      <x:c r="I36" s="47" t="str">
        <x:v>Do not target</x:v>
      </x:c>
      <x:c r="J36" s="47" t="str">
        <x:v>Excluded</x:v>
      </x:c>
      <x:c r="K36" s="47" t="str">
        <x:v>Excluded</x:v>
      </x:c>
      <x:c r="L36" s="47" t="str">
        <x:v>Excluded</x:v>
      </x:c>
      <x:c r="M36" s="47" t="str">
        <x:v>US-specific, unrelated or technology-led intent does not match the India directory.</x:v>
      </x:c>
    </x:row>
    <x:row r="37" ht="34" customHeight="1">
      <x:c r="A37" s="47" t="n">
        <x:f>'Source Data'!A37</x:f>
        <x:v>33</x:v>
      </x:c>
      <x:c r="B37" s="47" t="str">
        <x:f>'Source Data'!B37</x:f>
        <x:v>old age home yelahanka</x:v>
      </x:c>
      <x:c r="C37" s="47" t="str">
        <x:v>Local transactional</x:v>
      </x:c>
      <x:c r="D37" s="47" t="str">
        <x:v>Shortlist residences</x:v>
      </x:c>
      <x:c r="E37" s="50" t="n">
        <x:f>'Source Data'!C37</x:f>
        <x:v>0</x:v>
      </x:c>
      <x:c r="F37" s="50" t="n">
        <x:f>'Source Data'!H37</x:f>
        <x:v>100</x:v>
      </x:c>
      <x:c r="G37" s="50" t="n">
        <x:f>'Source Data'!G37</x:f>
        <x:v>0</x:v>
      </x:c>
      <x:c r="H37" s="47" t="str">
        <x:v>P1</x:v>
      </x:c>
      <x:c r="I37" s="47" t="str">
        <x:v>Build coverage first</x:v>
      </x:c>
      <x:c r="J37" s="47" t="str">
        <x:v>/assisted-living/bengaluru</x:v>
      </x:c>
      <x:c r="K37" s="47" t="str">
        <x:v>Supporting</x:v>
      </x:c>
      <x:c r="L37" s="47" t="str">
        <x:v>Coverage backlog</x:v>
      </x:c>
      <x:c r="M37" s="47" t="str">
        <x:v>Do not create a thin neighbourhood page before there is credible listing coverage.</x:v>
      </x:c>
    </x:row>
    <x:row r="38" ht="34" customHeight="1">
      <x:c r="A38" s="47" t="n">
        <x:f>'Source Data'!A38</x:f>
        <x:v>34</x:v>
      </x:c>
      <x:c r="B38" s="47" t="str">
        <x:f>'Source Data'!B38</x:f>
        <x:v>athulya assisted living arumbakkam</x:v>
      </x:c>
      <x:c r="C38" s="47" t="str">
        <x:v>Branded / navigational</x:v>
      </x:c>
      <x:c r="D38" s="47" t="str">
        <x:v>Provider research</x:v>
      </x:c>
      <x:c r="E38" s="50" t="n">
        <x:f>'Source Data'!C38</x:f>
        <x:v>0</x:v>
      </x:c>
      <x:c r="F38" s="50" t="n">
        <x:f>'Source Data'!H38</x:f>
        <x:v>0</x:v>
      </x:c>
      <x:c r="G38" s="50" t="n">
        <x:f>'Source Data'!G38</x:f>
        <x:v>0</x:v>
      </x:c>
      <x:c r="H38" s="47" t="str">
        <x:v>Hold</x:v>
      </x:c>
      <x:c r="I38" s="47" t="str">
        <x:v>Verify before publishing</x:v>
      </x:c>
      <x:c r="J38" s="47" t="str">
        <x:v>No page yet</x:v>
      </x:c>
      <x:c r="K38" s="47" t="str">
        <x:v>Backlog</x:v>
      </x:c>
      <x:c r="L38" s="47" t="str">
        <x:v>Branded hold</x:v>
      </x:c>
      <x:c r="M38" s="47" t="str">
        <x:v>Create a provider profile only after facts, imagery and ownership are verified.</x:v>
      </x:c>
    </x:row>
    <x:row r="39" ht="34" customHeight="1">
      <x:c r="A39" s="47" t="n">
        <x:f>'Source Data'!A39</x:f>
        <x:v>35</x:v>
      </x:c>
      <x:c r="B39" s="47" t="str">
        <x:f>'Source Data'!B39</x:f>
        <x:v>vassar warner assisted living</x:v>
      </x:c>
      <x:c r="C39" s="47" t="str">
        <x:v>Excluded / irrelevant</x:v>
      </x:c>
      <x:c r="D39" s="47" t="str">
        <x:v>Out of market</x:v>
      </x:c>
      <x:c r="E39" s="50" t="n">
        <x:f>'Source Data'!C39</x:f>
        <x:v>0</x:v>
      </x:c>
      <x:c r="F39" s="50" t="n">
        <x:f>'Source Data'!H39</x:f>
        <x:v>0</x:v>
      </x:c>
      <x:c r="G39" s="50" t="n">
        <x:f>'Source Data'!G39</x:f>
        <x:v>0</x:v>
      </x:c>
      <x:c r="H39" s="47" t="str">
        <x:v>Exclude</x:v>
      </x:c>
      <x:c r="I39" s="47" t="str">
        <x:v>Do not target</x:v>
      </x:c>
      <x:c r="J39" s="47" t="str">
        <x:v>Excluded</x:v>
      </x:c>
      <x:c r="K39" s="47" t="str">
        <x:v>Excluded</x:v>
      </x:c>
      <x:c r="L39" s="47" t="str">
        <x:v>Excluded</x:v>
      </x:c>
      <x:c r="M39" s="47" t="str">
        <x:v>US-specific, unrelated or technology-led intent does not match the India directory.</x:v>
      </x:c>
    </x:row>
    <x:row r="40" ht="34" customHeight="1">
      <x:c r="A40" s="47" t="n">
        <x:f>'Source Data'!A40</x:f>
        <x:v>36</x:v>
      </x:c>
      <x:c r="B40" s="47" t="str">
        <x:f>'Source Data'!B40</x:f>
        <x:v>assisted living dietary program</x:v>
      </x:c>
      <x:c r="C40" s="47" t="str">
        <x:v>Informational</x:v>
      </x:c>
      <x:c r="D40" s="47" t="str">
        <x:v>Understand care</x:v>
      </x:c>
      <x:c r="E40" s="50" t="n">
        <x:f>'Source Data'!C40</x:f>
        <x:v>0</x:v>
      </x:c>
      <x:c r="F40" s="50" t="str">
        <x:f>'Source Data'!H40</x:f>
      </x:c>
      <x:c r="G40" s="50" t="n">
        <x:f>'Source Data'!G40</x:f>
        <x:v>0</x:v>
      </x:c>
      <x:c r="H40" s="47" t="str">
        <x:v>P2</x:v>
      </x:c>
      <x:c r="I40" s="47" t="str">
        <x:v>Create guide</x:v>
      </x:c>
      <x:c r="J40" s="47" t="str">
        <x:v>/blog/geriatric-diet-and-nutrition-in-assisted-living</x:v>
      </x:c>
      <x:c r="K40" s="47" t="str">
        <x:v>Primary</x:v>
      </x:c>
      <x:c r="L40" s="47" t="str">
        <x:v>Create now</x:v>
      </x:c>
      <x:c r="M40" s="47" t="str">
        <x:v>Educational content should answer the question directly and guide readers toward relevant comparison pages.</x:v>
      </x:c>
    </x:row>
    <x:row r="41" ht="34" customHeight="1">
      <x:c r="A41" s="47" t="n">
        <x:f>'Source Data'!A41</x:f>
        <x:v>37</x:v>
      </x:c>
      <x:c r="B41" s="47" t="str">
        <x:f>'Source Data'!B41</x:f>
        <x:v>retirement homes in bangalore</x:v>
      </x:c>
      <x:c r="C41" s="47" t="str">
        <x:v>Local transactional</x:v>
      </x:c>
      <x:c r="D41" s="47" t="str">
        <x:v>Shortlist residences</x:v>
      </x:c>
      <x:c r="E41" s="50" t="n">
        <x:f>'Source Data'!C41</x:f>
        <x:v>0</x:v>
      </x:c>
      <x:c r="F41" s="50" t="n">
        <x:f>'Source Data'!H41</x:f>
        <x:v>500</x:v>
      </x:c>
      <x:c r="G41" s="50" t="n">
        <x:f>'Source Data'!G41</x:f>
        <x:v>4</x:v>
      </x:c>
      <x:c r="H41" s="47" t="str">
        <x:v>P1</x:v>
      </x:c>
      <x:c r="I41" s="47" t="str">
        <x:v>Create / optimize landing page</x:v>
      </x:c>
      <x:c r="J41" s="47" t="str">
        <x:v>/assisted-living/bengaluru</x:v>
      </x:c>
      <x:c r="K41" s="47" t="str">
        <x:v>Primary / secondary</x:v>
      </x:c>
      <x:c r="L41" s="47" t="str">
        <x:v>Optimize now</x:v>
      </x:c>
      <x:c r="M41" s="47" t="str">
        <x:v>Location-led searches show shortlist and enquiry intent; use indexable local pages with comparison links.</x:v>
      </x:c>
    </x:row>
    <x:row r="42" ht="34" customHeight="1">
      <x:c r="A42" s="47" t="n">
        <x:f>'Source Data'!A42</x:f>
        <x:v>38</x:v>
      </x:c>
      <x:c r="B42" s="47" t="str">
        <x:f>'Source Data'!B42</x:f>
        <x:v>the cove assisted living</x:v>
      </x:c>
      <x:c r="C42" s="47" t="str">
        <x:v>Excluded / irrelevant</x:v>
      </x:c>
      <x:c r="D42" s="47" t="str">
        <x:v>Out of market</x:v>
      </x:c>
      <x:c r="E42" s="50" t="n">
        <x:f>'Source Data'!C42</x:f>
        <x:v>0</x:v>
      </x:c>
      <x:c r="F42" s="50" t="n">
        <x:f>'Source Data'!H42</x:f>
        <x:v>0</x:v>
      </x:c>
      <x:c r="G42" s="50" t="n">
        <x:f>'Source Data'!G42</x:f>
        <x:v>38</x:v>
      </x:c>
      <x:c r="H42" s="47" t="str">
        <x:v>Exclude</x:v>
      </x:c>
      <x:c r="I42" s="47" t="str">
        <x:v>Do not target</x:v>
      </x:c>
      <x:c r="J42" s="47" t="str">
        <x:v>Excluded</x:v>
      </x:c>
      <x:c r="K42" s="47" t="str">
        <x:v>Excluded</x:v>
      </x:c>
      <x:c r="L42" s="47" t="str">
        <x:v>Excluded</x:v>
      </x:c>
      <x:c r="M42" s="47" t="str">
        <x:v>US-specific, unrelated or technology-led intent does not match the India directory.</x:v>
      </x:c>
    </x:row>
    <x:row r="43" ht="34" customHeight="1">
      <x:c r="A43" s="48" t="n">
        <x:f>'Source Data'!A43</x:f>
        <x:v>39</x:v>
      </x:c>
      <x:c r="B43" s="48" t="str">
        <x:f>'Source Data'!B43</x:f>
        <x:v>does medicare cover assisted living</x:v>
      </x:c>
      <x:c r="C43" s="48" t="str">
        <x:v>Excluded / irrelevant</x:v>
      </x:c>
      <x:c r="D43" s="48" t="str">
        <x:v>Out of market</x:v>
      </x:c>
      <x:c r="E43" s="51" t="n">
        <x:f>'Source Data'!C43</x:f>
        <x:v>0</x:v>
      </x:c>
      <x:c r="F43" s="51" t="n">
        <x:f>'Source Data'!H43</x:f>
        <x:v>0</x:v>
      </x:c>
      <x:c r="G43" s="51" t="n">
        <x:f>'Source Data'!G43</x:f>
        <x:v>4</x:v>
      </x:c>
      <x:c r="H43" s="48" t="str">
        <x:v>Exclude</x:v>
      </x:c>
      <x:c r="I43" s="48" t="str">
        <x:v>Do not target</x:v>
      </x:c>
      <x:c r="J43" s="48" t="str">
        <x:v>Excluded</x:v>
      </x:c>
      <x:c r="K43" s="48" t="str">
        <x:v>Excluded</x:v>
      </x:c>
      <x:c r="L43" s="48" t="str">
        <x:v>Excluded</x:v>
      </x:c>
      <x:c r="M43" s="48" t="str">
        <x:v>US-specific, unrelated or technology-led intent does not match the India directory.</x:v>
      </x:c>
    </x:row>
  </x:sheetData>
  <x:mergeCells>
    <x:mergeCell ref="A1:M1"/>
    <x:mergeCell ref="A2:M2"/>
  </x:mergeCells>
  <x:conditionalFormatting sqref="H5:H43">
    <x:cfRule type="containsText" dxfId="0" priority="1" operator="containsText" text="P0"/>
    <x:cfRule type="containsText" dxfId="1" priority="2" operator="containsText" text="P1"/>
  </x:conditionalFormatting>
  <x:conditionalFormatting sqref="L5:L43">
    <x:cfRule type="containsText" dxfId="2" priority="3" operator="containsText" text="Excluded"/>
  </x:conditionalFormatting>
  <x:pageMargins left="0.7" right="0.7" top="0.75" bottom="0.75" header="0.3" footer="0.3"/>
  <x:tableParts count="1">
    <x:tablePart xmlns:r="http://schemas.openxmlformats.org/officeDocument/2006/relationships" r:id="R311098020557438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9" hidden="0" customWidth="1"/>
    <x:col min="3" max="3" width="31" hidden="0" customWidth="1"/>
    <x:col min="4" max="4" width="22" hidden="0" customWidth="1"/>
    <x:col min="5" max="5" width="13" hidden="0" customWidth="1"/>
    <x:col min="6" max="6" width="13" hidden="0" customWidth="1"/>
    <x:col min="7" max="7" width="13" hidden="0" customWidth="1"/>
    <x:col min="8" max="8" width="20" hidden="0" customWidth="1"/>
    <x:col min="9" max="9" width="20" hidden="0" customWidth="1"/>
    <x:col min="10" max="10" width="38" hidden="0" customWidth="1"/>
    <x:col min="11" max="11" width="47" hidden="0" customWidth="1"/>
    <x:col min="12" max="12" width="47" hidden="0" customWidth="1"/>
  </x:cols>
  <x:sheetData>
    <x:row r="1" ht="30" customHeight="1">
      <x:c r="A1" s="3" t="str">
        <x:v>Page priority map</x:v>
      </x:c>
      <x:c r="B1" s="3"/>
      <x:c r="C1" s="3"/>
      <x:c r="D1" s="3"/>
      <x:c r="E1" s="3"/>
      <x:c r="F1" s="3"/>
      <x:c r="G1" s="3"/>
      <x:c r="H1" s="3"/>
      <x:c r="I1" s="3"/>
      <x:c r="J1" s="3"/>
      <x:c r="K1" s="3"/>
      <x:c r="L1" s="3"/>
    </x:row>
    <x:row r="2" ht="24" customHeight="1">
      <x:c r="A2" s="5" t="str">
        <x:v>Implementation sequence based on search demand, commercial value and product-priority Indian locations.</x:v>
      </x:c>
      <x:c r="B2" s="5"/>
      <x:c r="C2" s="5"/>
      <x:c r="D2" s="5"/>
      <x:c r="E2" s="5"/>
      <x:c r="F2" s="5"/>
      <x:c r="G2" s="5"/>
      <x:c r="H2" s="5"/>
      <x:c r="I2" s="5"/>
      <x:c r="J2" s="5"/>
      <x:c r="K2" s="5"/>
      <x:c r="L2" s="5"/>
    </x:row>
    <x:row r="4" ht="42" customHeight="1">
      <x:c r="A4" s="14" t="str">
        <x:v>Order</x:v>
      </x:c>
      <x:c r="B4" s="15" t="str">
        <x:v>Target route</x:v>
      </x:c>
      <x:c r="C4" s="15" t="str">
        <x:v>Primary keyword</x:v>
      </x:c>
      <x:c r="D4" s="15" t="str">
        <x:v>Intent</x:v>
      </x:c>
      <x:c r="E4" s="15" t="str">
        <x:v>Cluster volume</x:v>
      </x:c>
      <x:c r="F4" s="15" t="str">
        <x:v>Keyword volume</x:v>
      </x:c>
      <x:c r="G4" s="15" t="str">
        <x:v>Priority</x:v>
      </x:c>
      <x:c r="H4" s="15" t="str">
        <x:v>Content type</x:v>
      </x:c>
      <x:c r="I4" s="15" t="str">
        <x:v>Status</x:v>
      </x:c>
      <x:c r="J4" s="15" t="str">
        <x:v>Secondary keywords</x:v>
      </x:c>
      <x:c r="K4" s="15" t="str">
        <x:v>Required on-page work</x:v>
      </x:c>
      <x:c r="L4" s="16" t="str">
        <x:v>Rationale</x:v>
      </x:c>
    </x:row>
    <x:row r="5" ht="42" customHeight="1">
      <x:c r="A5" s="46" t="n">
        <x:v>1</x:v>
      </x:c>
      <x:c r="B5" s="46" t="str">
        <x:v>/</x:v>
      </x:c>
      <x:c r="C5" s="46" t="str">
        <x:v>assisted living</x:v>
      </x:c>
      <x:c r="D5" s="46" t="str">
        <x:v>Commercial investigation</x:v>
      </x:c>
      <x:c r="E5" s="49" t="n">
        <x:f>SUMIF('Intent Map'!$B$5:$B$43,C5,'Intent Map'!$E$5:$E$43)</x:f>
        <x:v>3030</x:v>
      </x:c>
      <x:c r="F5" s="49" t="n">
        <x:f>SUMIF('Intent Map'!$B$5:$B$43,C5,'Intent Map'!$F$5:$F$43)</x:f>
        <x:v>1300</x:v>
      </x:c>
      <x:c r="G5" s="46" t="str">
        <x:v>P0</x:v>
      </x:c>
      <x:c r="H5" s="46" t="str">
        <x:v>National homepage</x:v>
      </x:c>
      <x:c r="I5" s="46" t="str">
        <x:v>Optimize now</x:v>
      </x:c>
      <x:c r="J5" s="46" t="str">
        <x:v>senior living</x:v>
      </x:c>
      <x:c r="K5" s="46" t="str">
        <x:v>Lead with India-wide discovery, trust, popular locations and direct comparison.</x:v>
      </x:c>
      <x:c r="L5" s="46" t="str">
        <x:v>Supports the assisted-living research journey and links readers to relevant listings.</x:v>
      </x:c>
    </x:row>
    <x:row r="6" ht="42" customHeight="1">
      <x:c r="A6" s="47" t="n">
        <x:v>2</x:v>
      </x:c>
      <x:c r="B6" s="47" t="str">
        <x:v>/directory</x:v>
      </x:c>
      <x:c r="C6" s="47" t="str">
        <x:v>senior living near me</x:v>
      </x:c>
      <x:c r="D6" s="47" t="str">
        <x:v>Local transactional</x:v>
      </x:c>
      <x:c r="E6" s="50" t="n">
        <x:f>SUMIF('Intent Map'!$B$5:$B$43,C6,'Intent Map'!$E$5:$E$43)</x:f>
        <x:v>1380</x:v>
      </x:c>
      <x:c r="F6" s="50" t="n">
        <x:f>SUMIF('Intent Map'!$B$5:$B$43,C6,'Intent Map'!$F$5:$F$43)</x:f>
        <x:v>700</x:v>
      </x:c>
      <x:c r="G6" s="47" t="str">
        <x:v>P0</x:v>
      </x:c>
      <x:c r="H6" s="47" t="str">
        <x:v>Search directory</x:v>
      </x:c>
      <x:c r="I6" s="47" t="str">
        <x:v>Optimize now</x:v>
      </x:c>
      <x:c r="J6" s="47" t="str">
        <x:v>assisted living near me; assisted living facilities; senior housing</x:v>
      </x:c>
      <x:c r="K6" s="47" t="str">
        <x:v>Make location and care search the primary action; retain crawlable links to city pages.</x:v>
      </x:c>
      <x:c r="L6" s="47" t="str">
        <x:v>Location pages combine high conversion intent with the comparison workflow.</x:v>
      </x:c>
    </x:row>
    <x:row r="7" ht="42" customHeight="1">
      <x:c r="A7" s="47" t="n">
        <x:v>3</x:v>
      </x:c>
      <x:c r="B7" s="47" t="str">
        <x:v>/assisted-living/chennai</x:v>
      </x:c>
      <x:c r="C7" s="47" t="str">
        <x:v>assisted living chennai</x:v>
      </x:c>
      <x:c r="D7" s="47" t="str">
        <x:v>Local transactional</x:v>
      </x:c>
      <x:c r="E7" s="50" t="n">
        <x:f>SUMIF('Intent Map'!$B$5:$B$43,C7,'Intent Map'!$E$5:$E$43)</x:f>
        <x:v>930</x:v>
      </x:c>
      <x:c r="F7" s="50" t="n">
        <x:f>SUMIF('Intent Map'!$B$5:$B$43,C7,'Intent Map'!$F$5:$F$43)</x:f>
        <x:v>700</x:v>
      </x:c>
      <x:c r="G7" s="47" t="str">
        <x:v>P0</x:v>
      </x:c>
      <x:c r="H7" s="47" t="str">
        <x:v>City landing page</x:v>
      </x:c>
      <x:c r="I7" s="47" t="str">
        <x:v>Optimize now</x:v>
      </x:c>
      <x:c r="J7" s="47" t="str">
        <x:v>old age home monthly cost in chennai</x:v>
      </x:c>
      <x:c r="K7" s="47" t="str">
        <x:v>Add unique Chennai copy, localities, INR cost context, FAQs and listings.</x:v>
      </x:c>
      <x:c r="L7" s="47" t="str">
        <x:v>Location pages combine high conversion intent with the comparison workflow.</x:v>
      </x:c>
    </x:row>
    <x:row r="8" ht="42" customHeight="1">
      <x:c r="A8" s="47" t="n">
        <x:v>4</x:v>
      </x:c>
      <x:c r="B8" s="47" t="str">
        <x:v>/assisted-living/gurgaon</x:v>
      </x:c>
      <x:c r="C8" s="47" t="str">
        <x:v>assisted living in Gurgaon</x:v>
      </x:c>
      <x:c r="D8" s="47" t="str">
        <x:v>Local transactional</x:v>
      </x:c>
      <x:c r="E8" s="50" t="n">
        <x:f>SUMIF('Intent Map'!$B$5:$B$43,C8,'Intent Map'!$E$5:$E$43)</x:f>
        <x:v>0</x:v>
      </x:c>
      <x:c r="F8" s="50" t="n">
        <x:f>SUMIF('Intent Map'!$B$5:$B$43,C8,'Intent Map'!$F$5:$F$43)</x:f>
        <x:v>0</x:v>
      </x:c>
      <x:c r="G8" s="47" t="str">
        <x:v>P0</x:v>
      </x:c>
      <x:c r="H8" s="47" t="str">
        <x:v>City landing page</x:v>
      </x:c>
      <x:c r="I8" s="47" t="str">
        <x:v>Optimize now</x:v>
      </x:c>
      <x:c r="J8" s="47" t="str">
        <x:v>senior living Gurgaon; retirement homes Gurgaon</x:v>
      </x:c>
      <x:c r="K8" s="47" t="str">
        <x:v>Product-priority market: foreground hospital access, NCR family proximity and premium care.</x:v>
      </x:c>
      <x:c r="L8" s="47" t="str">
        <x:v>Location pages combine high conversion intent with the comparison workflow.</x:v>
      </x:c>
    </x:row>
    <x:row r="9" ht="42" customHeight="1">
      <x:c r="A9" s="47" t="n">
        <x:v>5</x:v>
      </x:c>
      <x:c r="B9" s="47" t="str">
        <x:v>/assisted-living/mumbai</x:v>
      </x:c>
      <x:c r="C9" s="47" t="str">
        <x:v>assisted living mumbai</x:v>
      </x:c>
      <x:c r="D9" s="47" t="str">
        <x:v>Local transactional</x:v>
      </x:c>
      <x:c r="E9" s="50" t="n">
        <x:f>SUMIF('Intent Map'!$B$5:$B$43,C9,'Intent Map'!$E$5:$E$43)</x:f>
        <x:v>70</x:v>
      </x:c>
      <x:c r="F9" s="50" t="n">
        <x:f>SUMIF('Intent Map'!$B$5:$B$43,C9,'Intent Map'!$F$5:$F$43)</x:f>
        <x:v>200</x:v>
      </x:c>
      <x:c r="G9" s="47" t="str">
        <x:v>P1</x:v>
      </x:c>
      <x:c r="H9" s="47" t="str">
        <x:v>City landing page</x:v>
      </x:c>
      <x:c r="I9" s="47" t="str">
        <x:v>Optimize now</x:v>
      </x:c>
      <x:c r="J9" s="47" t="str">
        <x:v>luxury retirement homes in mumbai</x:v>
      </x:c>
      <x:c r="K9" s="47" t="str">
        <x:v>Cover Mumbai, Thane and Navi Mumbai without conflating assisted and independent living.</x:v>
      </x:c>
      <x:c r="L9" s="47" t="str">
        <x:v>Location pages combine high conversion intent with the comparison workflow.</x:v>
      </x:c>
    </x:row>
    <x:row r="10" ht="42" customHeight="1">
      <x:c r="A10" s="47" t="n">
        <x:v>6</x:v>
      </x:c>
      <x:c r="B10" s="47" t="str">
        <x:v>/assisted-living/dehradun</x:v>
      </x:c>
      <x:c r="C10" s="47" t="str">
        <x:v>assisted living in Dehradun</x:v>
      </x:c>
      <x:c r="D10" s="47" t="str">
        <x:v>Local transactional</x:v>
      </x:c>
      <x:c r="E10" s="50" t="n">
        <x:f>SUMIF('Intent Map'!$B$5:$B$43,C10,'Intent Map'!$E$5:$E$43)</x:f>
        <x:v>0</x:v>
      </x:c>
      <x:c r="F10" s="50" t="n">
        <x:f>SUMIF('Intent Map'!$B$5:$B$43,C10,'Intent Map'!$F$5:$F$43)</x:f>
        <x:v>0</x:v>
      </x:c>
      <x:c r="G10" s="47" t="str">
        <x:v>P1</x:v>
      </x:c>
      <x:c r="H10" s="47" t="str">
        <x:v>City landing page</x:v>
      </x:c>
      <x:c r="I10" s="47" t="str">
        <x:v>Create now</x:v>
      </x:c>
      <x:c r="J10" s="47" t="str">
        <x:v>retirement homes Dehradun; senior living Dehradun</x:v>
      </x:c>
      <x:c r="K10" s="47" t="str">
        <x:v>Product-priority destination despite weak coverage in this export; build for real market demand.</x:v>
      </x:c>
      <x:c r="L10" s="47" t="str">
        <x:v>Location pages combine high conversion intent with the comparison workflow.</x:v>
      </x:c>
    </x:row>
    <x:row r="11" ht="42" customHeight="1">
      <x:c r="A11" s="47" t="n">
        <x:v>7</x:v>
      </x:c>
      <x:c r="B11" s="47" t="str">
        <x:v>/assisted-living/pune</x:v>
      </x:c>
      <x:c r="C11" s="47" t="str">
        <x:v>assisted living pune</x:v>
      </x:c>
      <x:c r="D11" s="47" t="str">
        <x:v>Local transactional</x:v>
      </x:c>
      <x:c r="E11" s="50" t="n">
        <x:f>SUMIF('Intent Map'!$B$5:$B$43,C11,'Intent Map'!$E$5:$E$43)</x:f>
        <x:v>90</x:v>
      </x:c>
      <x:c r="F11" s="50" t="n">
        <x:f>SUMIF('Intent Map'!$B$5:$B$43,C11,'Intent Map'!$F$5:$F$43)</x:f>
        <x:v>200</x:v>
      </x:c>
      <x:c r="G11" s="47" t="str">
        <x:v>P1</x:v>
      </x:c>
      <x:c r="H11" s="47" t="str">
        <x:v>City landing page</x:v>
      </x:c>
      <x:c r="I11" s="47" t="str">
        <x:v>Optimize now</x:v>
      </x:c>
      <x:c r="J11" s="47" t="str">
        <x:v>senior living Pune; retirement homes Pune</x:v>
      </x:c>
      <x:c r="K11" s="47" t="str">
        <x:v>Strengthen local comparison content and direct directory filtering.</x:v>
      </x:c>
      <x:c r="L11" s="47" t="str">
        <x:v>Location pages combine high conversion intent with the comparison workflow.</x:v>
      </x:c>
    </x:row>
    <x:row r="12" ht="42" customHeight="1">
      <x:c r="A12" s="47" t="n">
        <x:v>8</x:v>
      </x:c>
      <x:c r="B12" s="47" t="str">
        <x:v>/assisted-living/bengaluru</x:v>
      </x:c>
      <x:c r="C12" s="47" t="str">
        <x:v>senior living bangalore</x:v>
      </x:c>
      <x:c r="D12" s="47" t="str">
        <x:v>Local transactional</x:v>
      </x:c>
      <x:c r="E12" s="50" t="n">
        <x:f>SUMIF('Intent Map'!$B$5:$B$43,C12,'Intent Map'!$E$5:$E$43)</x:f>
        <x:v>30</x:v>
      </x:c>
      <x:c r="F12" s="50" t="n">
        <x:f>SUMIF('Intent Map'!$B$5:$B$43,C12,'Intent Map'!$F$5:$F$43)</x:f>
        <x:v>500</x:v>
      </x:c>
      <x:c r="G12" s="47" t="str">
        <x:v>P1</x:v>
      </x:c>
      <x:c r="H12" s="47" t="str">
        <x:v>City landing page</x:v>
      </x:c>
      <x:c r="I12" s="47" t="str">
        <x:v>Optimize now</x:v>
      </x:c>
      <x:c r="J12" s="47" t="str">
        <x:v>retirement homes in bangalore; old age home yelahanka</x:v>
      </x:c>
      <x:c r="K12" s="47" t="str">
        <x:v>Use both Bengaluru and Bangalore naturally; defer a Yelahanka page until listings support it.</x:v>
      </x:c>
      <x:c r="L12" s="47" t="str">
        <x:v>Location pages combine high conversion intent with the comparison workflow.</x:v>
      </x:c>
    </x:row>
    <x:row r="13" ht="42" customHeight="1">
      <x:c r="A13" s="47" t="n">
        <x:v>9</x:v>
      </x:c>
      <x:c r="B13" s="47" t="str">
        <x:v>/assisted-living/delhi-ncr</x:v>
      </x:c>
      <x:c r="C13" s="47" t="str">
        <x:v>retirement homes in delhi</x:v>
      </x:c>
      <x:c r="D13" s="47" t="str">
        <x:v>Local transactional</x:v>
      </x:c>
      <x:c r="E13" s="50" t="n">
        <x:f>SUMIF('Intent Map'!$B$5:$B$43,C13,'Intent Map'!$E$5:$E$43)</x:f>
        <x:v>50</x:v>
      </x:c>
      <x:c r="F13" s="50" t="n">
        <x:f>SUMIF('Intent Map'!$B$5:$B$43,C13,'Intent Map'!$F$5:$F$43)</x:f>
        <x:v>80</x:v>
      </x:c>
      <x:c r="G13" s="47" t="str">
        <x:v>P1</x:v>
      </x:c>
      <x:c r="H13" s="47" t="str">
        <x:v>Regional landing page</x:v>
      </x:c>
      <x:c r="I13" s="47" t="str">
        <x:v>Optimize now</x:v>
      </x:c>
      <x:c r="J13" s="47" t="str">
        <x:v>assisted living Delhi NCR</x:v>
      </x:c>
      <x:c r="K13" s="47" t="str">
        <x:v>Differentiate the regional page from the Gurgaon page and link between them.</x:v>
      </x:c>
      <x:c r="L13" s="47" t="str">
        <x:v>Location pages combine high conversion intent with the comparison workflow.</x:v>
      </x:c>
    </x:row>
    <x:row r="14" ht="42" customHeight="1">
      <x:c r="A14" s="47" t="n">
        <x:v>10</x:v>
      </x:c>
      <x:c r="B14" s="47" t="str">
        <x:v>/blog/cost-of-assisted-living-in-india</x:v>
      </x:c>
      <x:c r="C14" s="47" t="str">
        <x:v>assisted living cost</x:v>
      </x:c>
      <x:c r="D14" s="47" t="str">
        <x:v>Commercial investigation</x:v>
      </x:c>
      <x:c r="E14" s="50" t="n">
        <x:f>SUMIF('Intent Map'!$B$5:$B$43,C14,'Intent Map'!$E$5:$E$43)</x:f>
        <x:v>180</x:v>
      </x:c>
      <x:c r="F14" s="50" t="n">
        <x:f>SUMIF('Intent Map'!$B$5:$B$43,C14,'Intent Map'!$F$5:$F$43)</x:f>
        <x:v>150</x:v>
      </x:c>
      <x:c r="G14" s="47" t="str">
        <x:v>P1</x:v>
      </x:c>
      <x:c r="H14" s="47" t="str">
        <x:v>Cost guide</x:v>
      </x:c>
      <x:c r="I14" s="47" t="str">
        <x:v>Optimize now</x:v>
      </x:c>
      <x:c r="J14" s="47" t="str">
        <x:v>assisted living costs</x:v>
      </x:c>
      <x:c r="K14" s="47" t="str">
        <x:v>Add fee components, INR ranges, inclusions, hidden costs and local-page links.</x:v>
      </x:c>
      <x:c r="L14" s="47" t="str">
        <x:v>Supports the assisted-living research journey and links readers to relevant listings.</x:v>
      </x:c>
    </x:row>
    <x:row r="15" ht="42" customHeight="1">
      <x:c r="A15" s="47" t="n">
        <x:v>11</x:v>
      </x:c>
      <x:c r="B15" s="47" t="str">
        <x:v>/blog/assisted-living-vs-nursing-home</x:v>
      </x:c>
      <x:c r="C15" s="47" t="str">
        <x:v>assisted living vs nursing home</x:v>
      </x:c>
      <x:c r="D15" s="47" t="str">
        <x:v>Informational</x:v>
      </x:c>
      <x:c r="E15" s="50" t="n">
        <x:f>SUMIF('Intent Map'!$B$5:$B$43,C15,'Intent Map'!$E$5:$E$43)</x:f>
        <x:v>150</x:v>
      </x:c>
      <x:c r="F15" s="50" t="n">
        <x:f>SUMIF('Intent Map'!$B$5:$B$43,C15,'Intent Map'!$F$5:$F$43)</x:f>
        <x:v>150</x:v>
      </x:c>
      <x:c r="G15" s="47" t="str">
        <x:v>P1</x:v>
      </x:c>
      <x:c r="H15" s="47" t="str">
        <x:v>Decision guide</x:v>
      </x:c>
      <x:c r="I15" s="47" t="str">
        <x:v>Create now</x:v>
      </x:c>
      <x:c r="J15" s="47" t="str">
        <x:v>assisted care vs nursing care</x:v>
      </x:c>
      <x:c r="K15" s="47" t="str">
        <x:v>Use a scan-friendly comparison and suitability questions; avoid medical claims.</x:v>
      </x:c>
      <x:c r="L15" s="47" t="str">
        <x:v>Supports the assisted-living research journey and links readers to relevant listings.</x:v>
      </x:c>
    </x:row>
    <x:row r="16" ht="42" customHeight="1">
      <x:c r="A16" s="47" t="n">
        <x:v>12</x:v>
      </x:c>
      <x:c r="B16" s="47" t="str">
        <x:v>/blog/what-is-assisted-living</x:v>
      </x:c>
      <x:c r="C16" s="47" t="str">
        <x:v>what is assisted living</x:v>
      </x:c>
      <x:c r="D16" s="47" t="str">
        <x:v>Informational</x:v>
      </x:c>
      <x:c r="E16" s="50" t="n">
        <x:f>SUMIF('Intent Map'!$B$5:$B$43,C16,'Intent Map'!$E$5:$E$43)</x:f>
        <x:v>60</x:v>
      </x:c>
      <x:c r="F16" s="50" t="n">
        <x:f>SUMIF('Intent Map'!$B$5:$B$43,C16,'Intent Map'!$F$5:$F$43)</x:f>
        <x:v>50</x:v>
      </x:c>
      <x:c r="G16" s="47" t="str">
        <x:v>P1</x:v>
      </x:c>
      <x:c r="H16" s="47" t="str">
        <x:v>Definition guide</x:v>
      </x:c>
      <x:c r="I16" s="47" t="str">
        <x:v>Create now</x:v>
      </x:c>
      <x:c r="J16" s="47" t="str">
        <x:v>assisted living meaning in India</x:v>
      </x:c>
      <x:c r="K16" s="47" t="str">
        <x:v>Define the model in Indian context and explain what is typically included.</x:v>
      </x:c>
      <x:c r="L16" s="47" t="str">
        <x:v>Supports the assisted-living research journey and links readers to relevant listings.</x:v>
      </x:c>
    </x:row>
    <x:row r="17" ht="42" customHeight="1">
      <x:c r="A17" s="47" t="n">
        <x:v>13</x:v>
      </x:c>
      <x:c r="B17" s="47" t="str">
        <x:v>/care/dementia-care</x:v>
      </x:c>
      <x:c r="C17" s="47" t="str">
        <x:v>memory care</x:v>
      </x:c>
      <x:c r="D17" s="47" t="str">
        <x:v>Commercial investigation</x:v>
      </x:c>
      <x:c r="E17" s="50" t="n">
        <x:f>SUMIF('Intent Map'!$B$5:$B$43,C17,'Intent Map'!$E$5:$E$43)</x:f>
        <x:v>70</x:v>
      </x:c>
      <x:c r="F17" s="50" t="n">
        <x:f>SUMIF('Intent Map'!$B$5:$B$43,C17,'Intent Map'!$F$5:$F$43)</x:f>
        <x:v>900</x:v>
      </x:c>
      <x:c r="G17" s="47" t="str">
        <x:v>P1</x:v>
      </x:c>
      <x:c r="H17" s="47" t="str">
        <x:v>Care landing page</x:v>
      </x:c>
      <x:c r="I17" s="47" t="str">
        <x:v>Optimize now</x:v>
      </x:c>
      <x:c r="J17" s="47" t="str">
        <x:v>memory care assisted living; memory care facility</x:v>
      </x:c>
      <x:c r="K17" s="47" t="str">
        <x:v>Bridge memory-care terminology to dementia and Alzheimer’s care available in India.</x:v>
      </x:c>
      <x:c r="L17" s="47" t="str">
        <x:v>Supports the assisted-living research journey and links readers to relevant listings.</x:v>
      </x:c>
    </x:row>
    <x:row r="18" ht="42" customHeight="1">
      <x:c r="A18" s="48" t="n">
        <x:v>14</x:v>
      </x:c>
      <x:c r="B18" s="48" t="str">
        <x:v>/blog/geriatric-diet-and-nutrition-in-assisted-living</x:v>
      </x:c>
      <x:c r="C18" s="48" t="str">
        <x:v>assisted living dietary program</x:v>
      </x:c>
      <x:c r="D18" s="48" t="str">
        <x:v>Informational</x:v>
      </x:c>
      <x:c r="E18" s="51" t="n">
        <x:f>SUMIF('Intent Map'!$B$5:$B$43,C18,'Intent Map'!$E$5:$E$43)</x:f>
        <x:v>0</x:v>
      </x:c>
      <x:c r="F18" s="51" t="n">
        <x:f>SUMIF('Intent Map'!$B$5:$B$43,C18,'Intent Map'!$F$5:$F$43)</x:f>
        <x:v>0</x:v>
      </x:c>
      <x:c r="G18" s="48" t="str">
        <x:v>P2</x:v>
      </x:c>
      <x:c r="H18" s="48" t="str">
        <x:v>Care guide</x:v>
      </x:c>
      <x:c r="I18" s="48" t="str">
        <x:v>Create now</x:v>
      </x:c>
      <x:c r="J18" s="48" t="str">
        <x:v>geriatric diet and nutrition</x:v>
      </x:c>
      <x:c r="K18" s="48" t="str">
        <x:v>Explain assessment, texture modification, diabetes-friendly meals and dietitian involvement.</x:v>
      </x:c>
      <x:c r="L18" s="48" t="str">
        <x:v>Supports the assisted-living research journey and links readers to relevant listings.</x:v>
      </x:c>
    </x:row>
  </x:sheetData>
  <x:mergeCells>
    <x:mergeCell ref="A1:L1"/>
    <x:mergeCell ref="A2:L2"/>
  </x:mergeCells>
  <x:conditionalFormatting sqref="G5:G18">
    <x:cfRule type="containsText" dxfId="3" priority="1" operator="containsText" text="P0"/>
    <x:cfRule type="containsText" dxfId="4" priority="2" operator="containsText" text="P1"/>
  </x:conditionalFormatting>
  <x:pageMargins left="0.7" right="0.7" top="0.75" bottom="0.75" header="0.3" footer="0.3"/>
  <x:tableParts count="1">
    <x:tablePart xmlns:r="http://schemas.openxmlformats.org/officeDocument/2006/relationships" r:id="R19f85eb8cdd441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16" hidden="0" customWidth="1"/>
    <x:col min="4" max="4" width="4" hidden="0" customWidth="1"/>
    <x:col min="5" max="5" width="8" hidden="0" customWidth="1"/>
    <x:col min="6" max="6" width="20" hidden="0" customWidth="1"/>
    <x:col min="7" max="7" width="18" hidden="0" customWidth="1"/>
    <x:col min="8" max="8" width="18" hidden="0" customWidth="1"/>
    <x:col min="9" max="9" width="20" hidden="0" customWidth="1"/>
    <x:col min="10" max="10" width="31" hidden="0" customWidth="1"/>
  </x:cols>
  <x:sheetData>
    <x:row r="1" ht="24" customHeight="1">
      <x:c r="A1" s="3" t="str">
        <x:v>SEO opportunity dashboard</x:v>
      </x:c>
      <x:c r="B1" s="3"/>
      <x:c r="C1" s="3"/>
      <x:c r="D1" s="3"/>
      <x:c r="E1" s="3"/>
      <x:c r="F1" s="3"/>
      <x:c r="G1" s="3"/>
      <x:c r="H1" s="3"/>
      <x:c r="I1" s="3"/>
      <x:c r="J1" s="3"/>
    </x:row>
    <x:row r="2" ht="24" customHeight="1">
      <x:c r="A2" s="5" t="str">
        <x:v>The strongest immediate route is local assisted-living discovery, led by Chennai and the directory’s near-me experience.</x:v>
      </x:c>
      <x:c r="B2" s="5"/>
      <x:c r="C2" s="5"/>
      <x:c r="D2" s="5"/>
      <x:c r="E2" s="5"/>
      <x:c r="F2" s="5"/>
      <x:c r="G2" s="5"/>
      <x:c r="H2" s="5"/>
      <x:c r="I2" s="5"/>
      <x:c r="J2" s="5"/>
    </x:row>
    <x:row r="3" ht="24" customHeight="1"/>
    <x:row r="4" ht="24" customHeight="1">
      <x:c r="A4" s="14" t="str">
        <x:v>Metric</x:v>
      </x:c>
      <x:c r="B4" s="16" t="str">
        <x:v>Value</x:v>
      </x:c>
      <x:c r="E4" s="74" t="str">
        <x:v>Publishing guardrails</x:v>
      </x:c>
      <x:c r="F4" s="74"/>
      <x:c r="G4" s="74"/>
      <x:c r="H4" s="74"/>
      <x:c r="I4" s="74"/>
      <x:c r="J4" s="74"/>
    </x:row>
    <x:row r="5" ht="28" customHeight="1">
      <x:c r="A5" s="54" t="str">
        <x:v>Keyword clusters</x:v>
      </x:c>
      <x:c r="B5" s="63" t="n">
        <x:f>COUNTA('Intent Map'!$B$5:$B$43)</x:f>
        <x:v>39</x:v>
      </x:c>
      <x:c r="E5" s="90" t="str">
        <x:v>• Do not publish competitor/provider pages until facts and ownership are verified.
• Exclude US-specific Medicare and US-location intent.
• Treat Gurgaon and Dehradun as product-priority markets even when absent from this export.
• Avoid thin neighbourhood pages until credible listings support them.</x:v>
      </x:c>
      <x:c r="F5" s="91"/>
      <x:c r="G5" s="91"/>
      <x:c r="H5" s="91"/>
      <x:c r="I5" s="91"/>
      <x:c r="J5" s="92"/>
    </x:row>
    <x:row r="6" ht="28" customHeight="1">
      <x:c r="A6" s="55" t="str">
        <x:v>In-scope clusters</x:v>
      </x:c>
      <x:c r="B6" s="64" t="n">
        <x:f>COUNTIF('Intent Map'!$L$5:$L$43,"&lt;&gt;Excluded")-COUNTIF('Intent Map'!$L$5:$L$43,"Branded hold")</x:f>
        <x:v>23</x:v>
      </x:c>
      <x:c r="E6" s="93"/>
      <x:c r="F6" s="94"/>
      <x:c r="G6" s="94"/>
      <x:c r="H6" s="94"/>
      <x:c r="I6" s="94"/>
      <x:c r="J6" s="95"/>
    </x:row>
    <x:row r="7" ht="28" customHeight="1">
      <x:c r="A7" s="55" t="str">
        <x:v>P0 clusters</x:v>
      </x:c>
      <x:c r="B7" s="64" t="n">
        <x:f>COUNTIF('Intent Map'!$H$5:$H$43,"P0")</x:f>
        <x:v>6</x:v>
      </x:c>
      <x:c r="E7" s="93"/>
      <x:c r="F7" s="94"/>
      <x:c r="G7" s="94"/>
      <x:c r="H7" s="94"/>
      <x:c r="I7" s="94"/>
      <x:c r="J7" s="95"/>
    </x:row>
    <x:row r="8" ht="28" customHeight="1">
      <x:c r="A8" s="56" t="str">
        <x:v>Pages in implementation map</x:v>
      </x:c>
      <x:c r="B8" s="65" t="n">
        <x:f>COUNTA('Page Priority'!$B$5:$B$18)</x:f>
        <x:v>14</x:v>
      </x:c>
      <x:c r="E8" s="96"/>
      <x:c r="F8" s="97"/>
      <x:c r="G8" s="97"/>
      <x:c r="H8" s="97"/>
      <x:c r="I8" s="97"/>
      <x:c r="J8" s="98"/>
    </x:row>
    <x:row r="9" ht="24" customHeight="1"/>
    <x:row r="10" ht="24" customHeight="1"/>
    <x:row r="11" ht="24" customHeight="1">
      <x:c r="A11" s="14" t="str">
        <x:v>Intent</x:v>
      </x:c>
      <x:c r="B11" s="15" t="str">
        <x:v>Cluster count</x:v>
      </x:c>
      <x:c r="C11" s="16" t="str">
        <x:v>Cluster volume</x:v>
      </x:c>
      <x:c r="E11" s="74" t="str">
        <x:v>Immediate implementation sequence</x:v>
      </x:c>
      <x:c r="F11" s="74"/>
      <x:c r="G11" s="74"/>
      <x:c r="H11" s="74"/>
      <x:c r="I11" s="74"/>
      <x:c r="J11" s="74"/>
    </x:row>
    <x:row r="12" ht="24" customHeight="1">
      <x:c r="A12" s="67" t="str">
        <x:v>Local transactional</x:v>
      </x:c>
      <x:c r="B12" s="70" t="n">
        <x:f>COUNTIF('Intent Map'!$C$5:$C$43,A12)</x:f>
        <x:v>11</x:v>
      </x:c>
      <x:c r="C12" s="70" t="n">
        <x:f>SUMIF('Intent Map'!$C$5:$C$43,A12,'Intent Map'!$E$5:$E$43)</x:f>
        <x:v>2910</x:v>
      </x:c>
      <x:c r="E12" s="108" t="str">
        <x:v>1</x:v>
      </x:c>
      <x:c r="F12" s="109" t="str">
        <x:v>Chennai</x:v>
      </x:c>
      <x:c r="G12" s="109" t="str">
        <x:v>Local landing page</x:v>
      </x:c>
      <x:c r="H12" s="109" t="str">
        <x:v>P0</x:v>
      </x:c>
      <x:c r="I12" s="109" t="str">
        <x:v>930 cluster volume</x:v>
      </x:c>
      <x:c r="J12" s="110" t="str">
        <x:v>Lead local SEO implementation</x:v>
      </x:c>
    </x:row>
    <x:row r="13" ht="24" customHeight="1">
      <x:c r="A13" s="68" t="str">
        <x:v>Commercial investigation</x:v>
      </x:c>
      <x:c r="B13" s="71" t="n">
        <x:f>COUNTIF('Intent Map'!$C$5:$C$43,A13)</x:f>
        <x:v>9</x:v>
      </x:c>
      <x:c r="C13" s="71" t="n">
        <x:f>SUMIF('Intent Map'!$C$5:$C$43,A13,'Intent Map'!$E$5:$E$43)</x:f>
        <x:v>4230</x:v>
      </x:c>
      <x:c r="E13" s="111" t="str">
        <x:v>2</x:v>
      </x:c>
      <x:c r="F13" s="112" t="str">
        <x:v>Directory</x:v>
      </x:c>
      <x:c r="G13" s="112" t="str">
        <x:v>Near-me discovery</x:v>
      </x:c>
      <x:c r="H13" s="112" t="str">
        <x:v>P0</x:v>
      </x:c>
      <x:c r="I13" s="112" t="str">
        <x:v>1,470 combined cluster volume</x:v>
      </x:c>
      <x:c r="J13" s="113" t="str">
        <x:v>Strengthen search-first UX</x:v>
      </x:c>
    </x:row>
    <x:row r="14" ht="24" customHeight="1">
      <x:c r="A14" s="68" t="str">
        <x:v>Informational</x:v>
      </x:c>
      <x:c r="B14" s="71" t="n">
        <x:f>COUNTIF('Intent Map'!$C$5:$C$43,A14)</x:f>
        <x:v>3</x:v>
      </x:c>
      <x:c r="C14" s="71" t="n">
        <x:f>SUMIF('Intent Map'!$C$5:$C$43,A14,'Intent Map'!$E$5:$E$43)</x:f>
        <x:v>210</x:v>
      </x:c>
      <x:c r="E14" s="111" t="str">
        <x:v>3</x:v>
      </x:c>
      <x:c r="F14" s="112" t="str">
        <x:v>Homepage</x:v>
      </x:c>
      <x:c r="G14" s="112" t="str">
        <x:v>Assisted living in India</x:v>
      </x:c>
      <x:c r="H14" s="112" t="str">
        <x:v>P0</x:v>
      </x:c>
      <x:c r="I14" s="112" t="str">
        <x:v>3,030 cluster volume</x:v>
      </x:c>
      <x:c r="J14" s="113" t="str">
        <x:v>Clarify national proposition</x:v>
      </x:c>
    </x:row>
    <x:row r="15" ht="24" customHeight="1">
      <x:c r="A15" s="68" t="str">
        <x:v>Branded / navigational</x:v>
      </x:c>
      <x:c r="B15" s="71" t="n">
        <x:f>COUNTIF('Intent Map'!$C$5:$C$43,A15)</x:f>
        <x:v>11</x:v>
      </x:c>
      <x:c r="C15" s="71" t="n">
        <x:f>SUMIF('Intent Map'!$C$5:$C$43,A15,'Intent Map'!$E$5:$E$43)</x:f>
        <x:v>1290</x:v>
      </x:c>
      <x:c r="E15" s="111" t="str">
        <x:v>4</x:v>
      </x:c>
      <x:c r="F15" s="112" t="str">
        <x:v>Gurgaon</x:v>
      </x:c>
      <x:c r="G15" s="112" t="str">
        <x:v>Product-priority city</x:v>
      </x:c>
      <x:c r="H15" s="112" t="str">
        <x:v>P0</x:v>
      </x:c>
      <x:c r="I15" s="112" t="str">
        <x:v>Market priority</x:v>
      </x:c>
      <x:c r="J15" s="113" t="str">
        <x:v>Dedicated local page</x:v>
      </x:c>
    </x:row>
    <x:row r="16" ht="24" customHeight="1">
      <x:c r="A16" s="69" t="str">
        <x:v>Excluded / irrelevant</x:v>
      </x:c>
      <x:c r="B16" s="72" t="n">
        <x:f>COUNTIF('Intent Map'!$C$5:$C$43,A16)</x:f>
        <x:v>5</x:v>
      </x:c>
      <x:c r="C16" s="72" t="n">
        <x:f>SUMIF('Intent Map'!$C$5:$C$43,A16,'Intent Map'!$E$5:$E$43)</x:f>
        <x:v>30</x:v>
      </x:c>
      <x:c r="E16" s="114" t="str">
        <x:v>5</x:v>
      </x:c>
      <x:c r="F16" s="115" t="str">
        <x:v>Mumbai + Dehradun</x:v>
      </x:c>
      <x:c r="G16" s="115" t="str">
        <x:v>Priority locations</x:v>
      </x:c>
      <x:c r="H16" s="115" t="str">
        <x:v>P1</x:v>
      </x:c>
      <x:c r="I16" s="115" t="str">
        <x:v>Commercial demand</x:v>
      </x:c>
      <x:c r="J16" s="116" t="str">
        <x:v>Local content and internal links</x:v>
      </x:c>
    </x:row>
    <x:row r="17" ht="24" customHeight="1"/>
    <x:row r="18" ht="24" customHeight="1"/>
    <x:row r="19" ht="24" customHeight="1">
      <x:c r="A19" s="120" t="str">
        <x:v>Method: intent and publishing recommendations are editorial classifications of the provided export. Search volume is directional and should be refreshed before major content investment. Raw values remain intact on the Source Data sheet.</x:v>
      </x:c>
      <x:c r="B19" s="120"/>
      <x:c r="C19" s="120"/>
      <x:c r="D19" s="120"/>
      <x:c r="E19" s="120"/>
      <x:c r="F19" s="120"/>
      <x:c r="G19" s="120"/>
      <x:c r="H19" s="120"/>
      <x:c r="I19" s="120"/>
      <x:c r="J19" s="120"/>
    </x:row>
    <x:row r="20" ht="24" customHeight="1">
      <x:c r="A20" s="120"/>
      <x:c r="B20" s="120"/>
      <x:c r="C20" s="120"/>
      <x:c r="D20" s="120"/>
      <x:c r="E20" s="120"/>
      <x:c r="F20" s="120"/>
      <x:c r="G20" s="120"/>
      <x:c r="H20" s="120"/>
      <x:c r="I20" s="120"/>
      <x:c r="J20" s="120"/>
    </x:row>
  </x:sheetData>
  <x:mergeCells>
    <x:mergeCell ref="A1:J1"/>
    <x:mergeCell ref="A2:J2"/>
    <x:mergeCell ref="E4:J4"/>
    <x:mergeCell ref="E5:J8"/>
    <x:mergeCell ref="E11:J11"/>
    <x:mergeCell ref="A19:J20"/>
  </x:mergeCells>
  <x:pageMargins left="0.7" right="0.7" top="0.75" bottom="0.75" header="0.3" footer="0.3"/>
  <x:drawing xmlns:r="http://schemas.openxmlformats.org/officeDocument/2006/relationships" r:id="R727890bc3d7e4341"/>
</x:worksheet>
</file>